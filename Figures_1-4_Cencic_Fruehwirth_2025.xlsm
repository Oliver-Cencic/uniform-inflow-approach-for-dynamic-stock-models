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Benutzer OC\Dropbox\Problemdateien\Pauliuk\JIE\2nd Submission JIE\Revision\"/>
    </mc:Choice>
  </mc:AlternateContent>
  <xr:revisionPtr revIDLastSave="0" documentId="13_ncr:1_{2376A0D7-CA8E-4919-92F3-03082A679C98}" xr6:coauthVersionLast="47" xr6:coauthVersionMax="47" xr10:uidLastSave="{00000000-0000-0000-0000-000000000000}"/>
  <bookViews>
    <workbookView xWindow="-120" yWindow="-120" windowWidth="29040" windowHeight="15840" firstSheet="1" activeTab="1" xr2:uid="{2C5086DD-FA9A-4753-8CC4-078626E44EBE}"/>
  </bookViews>
  <sheets>
    <sheet name="_xltb_storage_" sheetId="10" state="veryHidden" r:id="rId1"/>
    <sheet name="Figure 1" sheetId="1" r:id="rId2"/>
    <sheet name="Figure 2" sheetId="12" r:id="rId3"/>
    <sheet name="Figure 3" sheetId="11" r:id="rId4"/>
    <sheet name="Figure 4" sheetId="7" r:id="rId5"/>
  </sheets>
  <functionGroups builtInGroupCount="19"/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1" l="1"/>
  <c r="B4" i="11" s="1"/>
  <c r="B6" i="11"/>
  <c r="B7" i="11" s="1"/>
  <c r="E7" i="11" s="1"/>
  <c r="B9" i="11"/>
  <c r="B10" i="11" s="1"/>
  <c r="E10" i="11" s="1"/>
  <c r="E13" i="11" s="1"/>
  <c r="B12" i="11"/>
  <c r="B13" i="11" s="1"/>
  <c r="E16" i="11" s="1"/>
  <c r="B15" i="11"/>
  <c r="B16" i="11" s="1"/>
  <c r="E19" i="11" s="1"/>
  <c r="L75" i="1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M55" i="11" s="1"/>
  <c r="L54" i="11"/>
  <c r="M54" i="11" s="1"/>
  <c r="L53" i="11"/>
  <c r="M53" i="11" s="1"/>
  <c r="L52" i="11"/>
  <c r="M52" i="11" s="1"/>
  <c r="L51" i="11"/>
  <c r="M51" i="11" s="1"/>
  <c r="N61" i="11" s="1"/>
  <c r="L50" i="11"/>
  <c r="M50" i="11" s="1"/>
  <c r="L49" i="11"/>
  <c r="M49" i="11" s="1"/>
  <c r="L48" i="11"/>
  <c r="M48" i="11" s="1"/>
  <c r="L47" i="11"/>
  <c r="M47" i="11" s="1"/>
  <c r="L46" i="11"/>
  <c r="M46" i="11" s="1"/>
  <c r="L45" i="11"/>
  <c r="M45" i="11" s="1"/>
  <c r="L44" i="11"/>
  <c r="M44" i="11" s="1"/>
  <c r="L43" i="11"/>
  <c r="M43" i="11" s="1"/>
  <c r="L42" i="11"/>
  <c r="M42" i="11" s="1"/>
  <c r="L41" i="11"/>
  <c r="M41" i="11" s="1"/>
  <c r="L40" i="11"/>
  <c r="M40" i="11" s="1"/>
  <c r="N50" i="11" s="1"/>
  <c r="L39" i="11"/>
  <c r="M39" i="11" s="1"/>
  <c r="N49" i="11" s="1"/>
  <c r="L38" i="11"/>
  <c r="M38" i="11" s="1"/>
  <c r="L37" i="11"/>
  <c r="M37" i="11" s="1"/>
  <c r="N47" i="11" s="1"/>
  <c r="L36" i="11"/>
  <c r="M36" i="11" s="1"/>
  <c r="L35" i="11"/>
  <c r="M35" i="11" s="1"/>
  <c r="N45" i="11" s="1"/>
  <c r="L34" i="11"/>
  <c r="M34" i="11" s="1"/>
  <c r="L33" i="11"/>
  <c r="M33" i="11" s="1"/>
  <c r="L32" i="11"/>
  <c r="M32" i="11" s="1"/>
  <c r="L31" i="11"/>
  <c r="M31" i="11" s="1"/>
  <c r="L30" i="11"/>
  <c r="M30" i="11" s="1"/>
  <c r="L29" i="11"/>
  <c r="M29" i="11" s="1"/>
  <c r="O29" i="11" s="1"/>
  <c r="L28" i="11"/>
  <c r="M28" i="11" s="1"/>
  <c r="L27" i="11"/>
  <c r="M27" i="11" s="1"/>
  <c r="L26" i="11"/>
  <c r="M26" i="11" s="1"/>
  <c r="L25" i="11"/>
  <c r="M25" i="11" s="1"/>
  <c r="E2" i="7"/>
  <c r="B10" i="7"/>
  <c r="C4" i="7"/>
  <c r="B13" i="7"/>
  <c r="M60" i="11" l="1"/>
  <c r="N44" i="11"/>
  <c r="O44" i="11" s="1"/>
  <c r="O34" i="11"/>
  <c r="N57" i="11"/>
  <c r="O47" i="11"/>
  <c r="N46" i="11"/>
  <c r="O46" i="11" s="1"/>
  <c r="N59" i="11"/>
  <c r="O49" i="11"/>
  <c r="O26" i="11"/>
  <c r="N36" i="11"/>
  <c r="O36" i="11" s="1"/>
  <c r="O27" i="11"/>
  <c r="N37" i="11"/>
  <c r="O37" i="11" s="1"/>
  <c r="N48" i="11"/>
  <c r="O48" i="11" s="1"/>
  <c r="N62" i="11"/>
  <c r="N40" i="11"/>
  <c r="O40" i="11" s="1"/>
  <c r="O30" i="11"/>
  <c r="N63" i="11"/>
  <c r="N64" i="11"/>
  <c r="H4" i="11"/>
  <c r="E4" i="11"/>
  <c r="N70" i="11"/>
  <c r="N54" i="11"/>
  <c r="O54" i="11" s="1"/>
  <c r="O45" i="11"/>
  <c r="N55" i="11"/>
  <c r="O55" i="11" s="1"/>
  <c r="N58" i="11"/>
  <c r="O25" i="11"/>
  <c r="N35" i="11"/>
  <c r="O35" i="11" s="1"/>
  <c r="O50" i="11"/>
  <c r="N60" i="11"/>
  <c r="O60" i="11" s="1"/>
  <c r="O28" i="11"/>
  <c r="N38" i="11"/>
  <c r="O38" i="11" s="1"/>
  <c r="N41" i="11"/>
  <c r="O41" i="11" s="1"/>
  <c r="O31" i="11"/>
  <c r="N51" i="11"/>
  <c r="O51" i="11" s="1"/>
  <c r="N42" i="11"/>
  <c r="O42" i="11" s="1"/>
  <c r="O32" i="11"/>
  <c r="N52" i="11"/>
  <c r="O52" i="11" s="1"/>
  <c r="N43" i="11"/>
  <c r="O43" i="11" s="1"/>
  <c r="O33" i="11"/>
  <c r="N53" i="11"/>
  <c r="O53" i="11" s="1"/>
  <c r="N56" i="11"/>
  <c r="M73" i="11"/>
  <c r="N39" i="11"/>
  <c r="O39" i="11" s="1"/>
  <c r="M70" i="11"/>
  <c r="M67" i="11"/>
  <c r="M71" i="11"/>
  <c r="M65" i="11"/>
  <c r="M57" i="11"/>
  <c r="M64" i="11"/>
  <c r="M61" i="11"/>
  <c r="M62" i="11"/>
  <c r="N65" i="11"/>
  <c r="M58" i="11"/>
  <c r="M74" i="11"/>
  <c r="M68" i="11"/>
  <c r="M75" i="11"/>
  <c r="M56" i="11"/>
  <c r="M69" i="11"/>
  <c r="M66" i="11"/>
  <c r="M63" i="11"/>
  <c r="M59" i="11"/>
  <c r="M72" i="11"/>
  <c r="C10" i="7"/>
  <c r="D4" i="7"/>
  <c r="D10" i="7" s="1"/>
  <c r="A18" i="7"/>
  <c r="A20" i="7" s="1"/>
  <c r="A21" i="7" s="1"/>
  <c r="A23" i="7" s="1"/>
  <c r="A24" i="7" s="1"/>
  <c r="A26" i="7" s="1"/>
  <c r="A27" i="7" s="1"/>
  <c r="A29" i="7" s="1"/>
  <c r="A30" i="7" s="1"/>
  <c r="A32" i="7" s="1"/>
  <c r="A33" i="7" s="1"/>
  <c r="A35" i="7" s="1"/>
  <c r="A36" i="7" s="1"/>
  <c r="A38" i="7" s="1"/>
  <c r="A39" i="7" s="1"/>
  <c r="A41" i="7" s="1"/>
  <c r="A42" i="7" s="1"/>
  <c r="A44" i="7" s="1"/>
  <c r="A45" i="7" s="1"/>
  <c r="P26" i="11" l="1"/>
  <c r="P27" i="11" s="1"/>
  <c r="P28" i="11" s="1"/>
  <c r="P29" i="11" s="1"/>
  <c r="P30" i="11" s="1"/>
  <c r="P31" i="11" s="1"/>
  <c r="P32" i="11" s="1"/>
  <c r="P33" i="11" s="1"/>
  <c r="P34" i="11" s="1"/>
  <c r="P35" i="11" s="1"/>
  <c r="P36" i="11" s="1"/>
  <c r="P37" i="11" s="1"/>
  <c r="P38" i="11" s="1"/>
  <c r="P39" i="11" s="1"/>
  <c r="P40" i="11" s="1"/>
  <c r="P41" i="11" s="1"/>
  <c r="P42" i="11" s="1"/>
  <c r="P43" i="11" s="1"/>
  <c r="P44" i="11" s="1"/>
  <c r="P45" i="11" s="1"/>
  <c r="P46" i="11" s="1"/>
  <c r="P47" i="11" s="1"/>
  <c r="P48" i="11" s="1"/>
  <c r="P49" i="11" s="1"/>
  <c r="P50" i="11" s="1"/>
  <c r="P51" i="11" s="1"/>
  <c r="P52" i="11" s="1"/>
  <c r="P53" i="11" s="1"/>
  <c r="P54" i="11" s="1"/>
  <c r="P55" i="11" s="1"/>
  <c r="S28" i="11"/>
  <c r="S43" i="11" s="1"/>
  <c r="S26" i="11"/>
  <c r="N77" i="11"/>
  <c r="O61" i="11"/>
  <c r="N71" i="11"/>
  <c r="N76" i="11"/>
  <c r="N79" i="11"/>
  <c r="N81" i="11"/>
  <c r="O71" i="11"/>
  <c r="N82" i="11"/>
  <c r="O64" i="11"/>
  <c r="N74" i="11"/>
  <c r="O74" i="11" s="1"/>
  <c r="O65" i="11"/>
  <c r="N75" i="11"/>
  <c r="O75" i="11" s="1"/>
  <c r="N69" i="11"/>
  <c r="O69" i="11" s="1"/>
  <c r="O59" i="11"/>
  <c r="N67" i="11"/>
  <c r="O67" i="11" s="1"/>
  <c r="O57" i="11"/>
  <c r="O56" i="11"/>
  <c r="N66" i="11"/>
  <c r="O66" i="11" s="1"/>
  <c r="N78" i="11"/>
  <c r="N84" i="11"/>
  <c r="N68" i="11"/>
  <c r="O68" i="11" s="1"/>
  <c r="O58" i="11"/>
  <c r="N73" i="11"/>
  <c r="O73" i="11" s="1"/>
  <c r="O63" i="11"/>
  <c r="N80" i="11"/>
  <c r="O70" i="11"/>
  <c r="M76" i="11"/>
  <c r="N85" i="11"/>
  <c r="N83" i="11"/>
  <c r="I5" i="11"/>
  <c r="H5" i="11"/>
  <c r="B26" i="11"/>
  <c r="N72" i="11"/>
  <c r="O72" i="11" s="1"/>
  <c r="O62" i="11"/>
  <c r="E4" i="7"/>
  <c r="F4" i="7" s="1"/>
  <c r="P56" i="11" l="1"/>
  <c r="P57" i="11" s="1"/>
  <c r="P58" i="11" s="1"/>
  <c r="P59" i="11" s="1"/>
  <c r="P60" i="11" s="1"/>
  <c r="P61" i="11" s="1"/>
  <c r="P62" i="11" s="1"/>
  <c r="P63" i="11" s="1"/>
  <c r="P64" i="11" s="1"/>
  <c r="P65" i="11" s="1"/>
  <c r="P66" i="11" s="1"/>
  <c r="P67" i="11" s="1"/>
  <c r="P68" i="11" s="1"/>
  <c r="P69" i="11" s="1"/>
  <c r="P70" i="11" s="1"/>
  <c r="P71" i="11" s="1"/>
  <c r="P72" i="11" s="1"/>
  <c r="P73" i="11" s="1"/>
  <c r="P74" i="11" s="1"/>
  <c r="P75" i="11" s="1"/>
  <c r="E10" i="7"/>
  <c r="S29" i="11"/>
  <c r="S31" i="11"/>
  <c r="S46" i="11" s="1"/>
  <c r="S42" i="11"/>
  <c r="V25" i="11"/>
  <c r="V26" i="11" s="1"/>
  <c r="M77" i="11"/>
  <c r="O76" i="11"/>
  <c r="E25" i="11"/>
  <c r="B27" i="11"/>
  <c r="I6" i="11"/>
  <c r="H6" i="11"/>
  <c r="G4" i="7"/>
  <c r="F10" i="7"/>
  <c r="P76" i="11" l="1"/>
  <c r="S34" i="11"/>
  <c r="S49" i="11" s="1"/>
  <c r="S32" i="11"/>
  <c r="S45" i="11"/>
  <c r="E28" i="11"/>
  <c r="H7" i="11"/>
  <c r="I7" i="11"/>
  <c r="B28" i="11"/>
  <c r="H26" i="11"/>
  <c r="E26" i="11"/>
  <c r="M78" i="11"/>
  <c r="O77" i="11"/>
  <c r="V28" i="11"/>
  <c r="V29" i="11" s="1"/>
  <c r="G10" i="7"/>
  <c r="H4" i="7"/>
  <c r="P77" i="11" l="1"/>
  <c r="S35" i="11"/>
  <c r="S37" i="11"/>
  <c r="S52" i="11" s="1"/>
  <c r="S48" i="11"/>
  <c r="E29" i="11"/>
  <c r="H29" i="11"/>
  <c r="V31" i="11"/>
  <c r="V32" i="11" s="1"/>
  <c r="O78" i="11"/>
  <c r="M79" i="11"/>
  <c r="B29" i="11"/>
  <c r="E34" i="11" s="1"/>
  <c r="I8" i="11"/>
  <c r="H8" i="11"/>
  <c r="S38" i="11" s="1"/>
  <c r="E31" i="11"/>
  <c r="H10" i="7"/>
  <c r="I4" i="7"/>
  <c r="P78" i="11" l="1"/>
  <c r="S51" i="11"/>
  <c r="E35" i="11"/>
  <c r="H35" i="11"/>
  <c r="H38" i="11"/>
  <c r="H32" i="11"/>
  <c r="E32" i="11"/>
  <c r="I9" i="11"/>
  <c r="H9" i="11"/>
  <c r="B30" i="11"/>
  <c r="E37" i="11" s="1"/>
  <c r="M80" i="11"/>
  <c r="O79" i="11"/>
  <c r="V34" i="11"/>
  <c r="V35" i="11" s="1"/>
  <c r="I10" i="7"/>
  <c r="J4" i="7"/>
  <c r="P79" i="11" l="1"/>
  <c r="V37" i="11"/>
  <c r="V38" i="11" s="1"/>
  <c r="M81" i="11"/>
  <c r="O80" i="11"/>
  <c r="H41" i="11"/>
  <c r="E38" i="11"/>
  <c r="K4" i="7"/>
  <c r="J10" i="7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B4" i="1"/>
  <c r="B5" i="1"/>
  <c r="B6" i="1"/>
  <c r="B7" i="1"/>
  <c r="G45" i="1" s="1"/>
  <c r="B8" i="1"/>
  <c r="B9" i="1"/>
  <c r="B10" i="1"/>
  <c r="B11" i="1"/>
  <c r="G48" i="1" s="1"/>
  <c r="B12" i="1"/>
  <c r="B13" i="1"/>
  <c r="B14" i="1"/>
  <c r="B15" i="1"/>
  <c r="G51" i="1" s="1"/>
  <c r="B16" i="1"/>
  <c r="B17" i="1"/>
  <c r="B18" i="1"/>
  <c r="B19" i="1"/>
  <c r="G54" i="1" s="1"/>
  <c r="G55" i="1" s="1"/>
  <c r="B24" i="1"/>
  <c r="B25" i="1"/>
  <c r="B26" i="1"/>
  <c r="B27" i="1"/>
  <c r="B23" i="1"/>
  <c r="C3" i="1"/>
  <c r="B3" i="1"/>
  <c r="P80" i="11" l="1"/>
  <c r="G49" i="1"/>
  <c r="H52" i="1" s="1"/>
  <c r="H51" i="1"/>
  <c r="G52" i="1"/>
  <c r="H55" i="1" s="1"/>
  <c r="H54" i="1"/>
  <c r="G46" i="1"/>
  <c r="H49" i="1" s="1"/>
  <c r="H48" i="1"/>
  <c r="B31" i="11"/>
  <c r="E40" i="11" s="1"/>
  <c r="M82" i="11"/>
  <c r="O81" i="11"/>
  <c r="K10" i="7"/>
  <c r="L4" i="7"/>
  <c r="C26" i="1"/>
  <c r="C37" i="1" s="1"/>
  <c r="C38" i="1" s="1"/>
  <c r="C24" i="1"/>
  <c r="C31" i="1" s="1"/>
  <c r="C32" i="1" s="1"/>
  <c r="C46" i="1" s="1"/>
  <c r="C49" i="1" s="1"/>
  <c r="C27" i="1"/>
  <c r="C40" i="1" s="1"/>
  <c r="C55" i="1" s="1"/>
  <c r="C25" i="1"/>
  <c r="C34" i="1" s="1"/>
  <c r="C52" i="1" s="1"/>
  <c r="B320" i="7"/>
  <c r="C171" i="7"/>
  <c r="C238" i="7"/>
  <c r="C306" i="7"/>
  <c r="F6" i="7"/>
  <c r="B289" i="7"/>
  <c r="B322" i="7"/>
  <c r="C425" i="7"/>
  <c r="C88" i="7"/>
  <c r="C293" i="7"/>
  <c r="B207" i="7"/>
  <c r="B294" i="7"/>
  <c r="B150" i="7"/>
  <c r="C148" i="7"/>
  <c r="B391" i="7"/>
  <c r="B279" i="7"/>
  <c r="C280" i="7"/>
  <c r="B144" i="7"/>
  <c r="B385" i="7"/>
  <c r="B281" i="7"/>
  <c r="C352" i="7"/>
  <c r="B318" i="7"/>
  <c r="C442" i="7"/>
  <c r="B422" i="7"/>
  <c r="B363" i="7"/>
  <c r="B246" i="7"/>
  <c r="C155" i="7"/>
  <c r="C370" i="7"/>
  <c r="C398" i="7"/>
  <c r="C100" i="7"/>
  <c r="B282" i="7"/>
  <c r="B57" i="7"/>
  <c r="B421" i="7"/>
  <c r="C319" i="7"/>
  <c r="B315" i="7"/>
  <c r="B71" i="7"/>
  <c r="B438" i="7"/>
  <c r="C112" i="7"/>
  <c r="B404" i="7"/>
  <c r="C303" i="7"/>
  <c r="C84" i="7"/>
  <c r="C97" i="7"/>
  <c r="C340" i="7"/>
  <c r="C426" i="7"/>
  <c r="C307" i="7"/>
  <c r="C92" i="7"/>
  <c r="B387" i="7"/>
  <c r="F5" i="7"/>
  <c r="C81" i="7"/>
  <c r="B143" i="7"/>
  <c r="C253" i="7"/>
  <c r="B374" i="7"/>
  <c r="C233" i="7"/>
  <c r="C126" i="7"/>
  <c r="C156" i="7"/>
  <c r="B400" i="7"/>
  <c r="C449" i="7"/>
  <c r="B273" i="7"/>
  <c r="C315" i="7"/>
  <c r="C96" i="7"/>
  <c r="C300" i="7"/>
  <c r="B124" i="7"/>
  <c r="C301" i="7"/>
  <c r="C158" i="7"/>
  <c r="C397" i="7"/>
  <c r="C262" i="7"/>
  <c r="B284" i="7"/>
  <c r="B200" i="7"/>
  <c r="C255" i="7"/>
  <c r="B370" i="7"/>
  <c r="C423" i="7"/>
  <c r="B179" i="7"/>
  <c r="C343" i="7"/>
  <c r="B448" i="7"/>
  <c r="B368" i="7"/>
  <c r="C392" i="7"/>
  <c r="B392" i="7"/>
  <c r="B425" i="7"/>
  <c r="B331" i="7"/>
  <c r="B196" i="7"/>
  <c r="B292" i="7"/>
  <c r="B349" i="7"/>
  <c r="B344" i="7"/>
  <c r="C130" i="7"/>
  <c r="C188" i="7"/>
  <c r="B283" i="7"/>
  <c r="C381" i="7"/>
  <c r="B64" i="7"/>
  <c r="B142" i="7"/>
  <c r="C225" i="7"/>
  <c r="B208" i="7"/>
  <c r="C405" i="7"/>
  <c r="B62" i="7"/>
  <c r="C220" i="7"/>
  <c r="B184" i="7"/>
  <c r="B11" i="7"/>
  <c r="B269" i="7"/>
  <c r="C245" i="7"/>
  <c r="C434" i="7"/>
  <c r="B390" i="7"/>
  <c r="C393" i="7"/>
  <c r="C107" i="7"/>
  <c r="B114" i="7"/>
  <c r="B378" i="7"/>
  <c r="B413" i="7"/>
  <c r="C308" i="7"/>
  <c r="B113" i="7"/>
  <c r="C295" i="7"/>
  <c r="C142" i="7"/>
  <c r="C129" i="7"/>
  <c r="B91" i="7"/>
  <c r="B98" i="7"/>
  <c r="B366" i="7"/>
  <c r="C172" i="7"/>
  <c r="B428" i="7"/>
  <c r="C431" i="7"/>
  <c r="C90" i="7"/>
  <c r="B257" i="7"/>
  <c r="B115" i="7"/>
  <c r="C373" i="7"/>
  <c r="C133" i="7"/>
  <c r="C235" i="7"/>
  <c r="C56" i="7"/>
  <c r="B198" i="7"/>
  <c r="B122" i="7"/>
  <c r="B217" i="7"/>
  <c r="C203" i="7"/>
  <c r="C265" i="7"/>
  <c r="B105" i="7"/>
  <c r="C324" i="7"/>
  <c r="C436" i="7"/>
  <c r="C219" i="7"/>
  <c r="C146" i="7"/>
  <c r="B338" i="7"/>
  <c r="B406" i="7"/>
  <c r="C180" i="7"/>
  <c r="C139" i="7"/>
  <c r="B87" i="7"/>
  <c r="C190" i="7"/>
  <c r="C212" i="7"/>
  <c r="C420" i="7"/>
  <c r="C11" i="7"/>
  <c r="C256" i="7"/>
  <c r="B111" i="7"/>
  <c r="C150" i="7"/>
  <c r="C13" i="7"/>
  <c r="F11" i="7"/>
  <c r="B125" i="7"/>
  <c r="C362" i="7"/>
  <c r="C151" i="7"/>
  <c r="C162" i="7"/>
  <c r="G13" i="7"/>
  <c r="C291" i="7"/>
  <c r="C264" i="7"/>
  <c r="B377" i="7"/>
  <c r="C211" i="7"/>
  <c r="B172" i="7"/>
  <c r="C161" i="7"/>
  <c r="C443" i="7"/>
  <c r="C283" i="7"/>
  <c r="H5" i="7"/>
  <c r="C240" i="7"/>
  <c r="B93" i="7"/>
  <c r="B258" i="7"/>
  <c r="B358" i="7"/>
  <c r="C247" i="7"/>
  <c r="C131" i="7"/>
  <c r="B383" i="7"/>
  <c r="C192" i="7"/>
  <c r="B164" i="7"/>
  <c r="C145" i="7"/>
  <c r="B168" i="7"/>
  <c r="C416" i="7"/>
  <c r="B151" i="7"/>
  <c r="B287" i="7"/>
  <c r="B342" i="7"/>
  <c r="B214" i="7"/>
  <c r="B153" i="7"/>
  <c r="B277" i="7"/>
  <c r="G6" i="7"/>
  <c r="B285" i="7"/>
  <c r="B108" i="7"/>
  <c r="C202" i="7"/>
  <c r="B291" i="7"/>
  <c r="C278" i="7"/>
  <c r="C110" i="7"/>
  <c r="B197" i="7"/>
  <c r="C173" i="7"/>
  <c r="C226" i="7"/>
  <c r="C322" i="7"/>
  <c r="C113" i="7"/>
  <c r="B441" i="7"/>
  <c r="B389" i="7"/>
  <c r="C244" i="7"/>
  <c r="B376" i="7"/>
  <c r="B170" i="7"/>
  <c r="B434" i="7"/>
  <c r="B92" i="7"/>
  <c r="B348" i="7"/>
  <c r="B192" i="7"/>
  <c r="C275" i="7"/>
  <c r="B107" i="7"/>
  <c r="C332" i="7"/>
  <c r="C179" i="7"/>
  <c r="C297" i="7"/>
  <c r="B110" i="7"/>
  <c r="C316" i="7"/>
  <c r="B74" i="7"/>
  <c r="B409" i="7"/>
  <c r="B159" i="7"/>
  <c r="C337" i="7"/>
  <c r="C85" i="7"/>
  <c r="C289" i="7"/>
  <c r="C396" i="7"/>
  <c r="C58" i="7"/>
  <c r="B129" i="7"/>
  <c r="B234" i="7"/>
  <c r="B70" i="7"/>
  <c r="B126" i="7"/>
  <c r="C313" i="7"/>
  <c r="C234" i="7"/>
  <c r="B160" i="7"/>
  <c r="B304" i="7"/>
  <c r="C136" i="7"/>
  <c r="B303" i="7"/>
  <c r="B286" i="7"/>
  <c r="B382" i="7"/>
  <c r="C428" i="7"/>
  <c r="B261" i="7"/>
  <c r="B95" i="7"/>
  <c r="B439" i="7"/>
  <c r="C137" i="7"/>
  <c r="B319" i="7"/>
  <c r="C432" i="7"/>
  <c r="B54" i="7"/>
  <c r="D5" i="7"/>
  <c r="C229" i="7"/>
  <c r="B181" i="7"/>
  <c r="B155" i="7"/>
  <c r="B371" i="7"/>
  <c r="C163" i="7"/>
  <c r="C122" i="7"/>
  <c r="C204" i="7"/>
  <c r="B134" i="7"/>
  <c r="C309" i="7"/>
  <c r="B332" i="7"/>
  <c r="C376" i="7"/>
  <c r="C232" i="7"/>
  <c r="C365" i="7"/>
  <c r="C218" i="7"/>
  <c r="C165" i="7"/>
  <c r="B109" i="7"/>
  <c r="C364" i="7"/>
  <c r="E13" i="7"/>
  <c r="B135" i="7"/>
  <c r="C71" i="7"/>
  <c r="C241" i="7"/>
  <c r="C356" i="7"/>
  <c r="B171" i="7"/>
  <c r="C205" i="7"/>
  <c r="C74" i="7"/>
  <c r="B417" i="7"/>
  <c r="B418" i="7"/>
  <c r="C395" i="7"/>
  <c r="C63" i="7"/>
  <c r="C383" i="7"/>
  <c r="C208" i="7"/>
  <c r="C354" i="7"/>
  <c r="C116" i="7"/>
  <c r="C108" i="7"/>
  <c r="B223" i="7"/>
  <c r="B375" i="7"/>
  <c r="C111" i="7"/>
  <c r="B350" i="7"/>
  <c r="B149" i="7"/>
  <c r="C246" i="7"/>
  <c r="B443" i="7"/>
  <c r="C78" i="7"/>
  <c r="C196" i="7"/>
  <c r="C123" i="7"/>
  <c r="B298" i="7"/>
  <c r="B325" i="7"/>
  <c r="C444" i="7"/>
  <c r="C167" i="7"/>
  <c r="B407" i="7"/>
  <c r="H6" i="7"/>
  <c r="C176" i="7"/>
  <c r="C73" i="7"/>
  <c r="B324" i="7"/>
  <c r="C325" i="7"/>
  <c r="C152" i="7"/>
  <c r="B384" i="7"/>
  <c r="C386" i="7"/>
  <c r="C273" i="7"/>
  <c r="B442" i="7"/>
  <c r="C120" i="7"/>
  <c r="C349" i="7"/>
  <c r="B356" i="7"/>
  <c r="B274" i="7"/>
  <c r="C66" i="7"/>
  <c r="C258" i="7"/>
  <c r="B216" i="7"/>
  <c r="C304" i="7"/>
  <c r="C318" i="7"/>
  <c r="B334" i="7"/>
  <c r="C345" i="7"/>
  <c r="B189" i="7"/>
  <c r="C435" i="7"/>
  <c r="B305" i="7"/>
  <c r="B355" i="7"/>
  <c r="B205" i="7"/>
  <c r="B146" i="7"/>
  <c r="B138" i="7"/>
  <c r="I6" i="7"/>
  <c r="B302" i="7"/>
  <c r="J5" i="7"/>
  <c r="B395" i="7"/>
  <c r="C323" i="7"/>
  <c r="C279" i="7"/>
  <c r="C399" i="7"/>
  <c r="K5" i="7"/>
  <c r="C61" i="7"/>
  <c r="B402" i="7"/>
  <c r="B152" i="7"/>
  <c r="B272" i="7"/>
  <c r="B310" i="7"/>
  <c r="B410" i="7"/>
  <c r="C135" i="7"/>
  <c r="B445" i="7"/>
  <c r="C159" i="7"/>
  <c r="C346" i="7"/>
  <c r="B270" i="7"/>
  <c r="B397" i="7"/>
  <c r="C413" i="7"/>
  <c r="B403" i="7"/>
  <c r="C80" i="7"/>
  <c r="B106" i="7"/>
  <c r="B225" i="7"/>
  <c r="C217" i="7"/>
  <c r="B435" i="7"/>
  <c r="C372" i="7"/>
  <c r="C377" i="7"/>
  <c r="B267" i="7"/>
  <c r="C175" i="7"/>
  <c r="C348" i="7"/>
  <c r="B316" i="7"/>
  <c r="C407" i="7"/>
  <c r="B245" i="7"/>
  <c r="C267" i="7"/>
  <c r="B280" i="7"/>
  <c r="B82" i="7"/>
  <c r="C177" i="7"/>
  <c r="B103" i="7"/>
  <c r="B147" i="7"/>
  <c r="B233" i="7"/>
  <c r="B312" i="7"/>
  <c r="B275" i="7"/>
  <c r="B231" i="7"/>
  <c r="B75" i="7"/>
  <c r="C336" i="7"/>
  <c r="B68" i="7"/>
  <c r="C390" i="7"/>
  <c r="B116" i="7"/>
  <c r="B399" i="7"/>
  <c r="B202" i="7"/>
  <c r="B65" i="7"/>
  <c r="C183" i="7"/>
  <c r="C369" i="7"/>
  <c r="C57" i="7"/>
  <c r="B215" i="7"/>
  <c r="C271" i="7"/>
  <c r="C274" i="7"/>
  <c r="C231" i="7"/>
  <c r="C98" i="7"/>
  <c r="C147" i="7"/>
  <c r="B423" i="7"/>
  <c r="C288" i="7"/>
  <c r="B128" i="7"/>
  <c r="B440" i="7"/>
  <c r="B254" i="7"/>
  <c r="B309" i="7"/>
  <c r="C82" i="7"/>
  <c r="C106" i="7"/>
  <c r="B353" i="7"/>
  <c r="B308" i="7"/>
  <c r="G5" i="7"/>
  <c r="B123" i="7"/>
  <c r="B297" i="7"/>
  <c r="B432" i="7"/>
  <c r="C375" i="7"/>
  <c r="C310" i="7"/>
  <c r="B199" i="7"/>
  <c r="B79" i="7"/>
  <c r="C144" i="7"/>
  <c r="C339" i="7"/>
  <c r="C69" i="7"/>
  <c r="C134" i="7"/>
  <c r="C154" i="7"/>
  <c r="B340" i="7"/>
  <c r="C408" i="7"/>
  <c r="B373" i="7"/>
  <c r="B290" i="7"/>
  <c r="B276" i="7"/>
  <c r="B335" i="7"/>
  <c r="C237" i="7"/>
  <c r="B446" i="7"/>
  <c r="C138" i="7"/>
  <c r="B145" i="7"/>
  <c r="B81" i="7"/>
  <c r="C70" i="7"/>
  <c r="C286" i="7"/>
  <c r="B121" i="7"/>
  <c r="C285" i="7"/>
  <c r="C406" i="7"/>
  <c r="E6" i="7"/>
  <c r="C114" i="7"/>
  <c r="B97" i="7"/>
  <c r="C160" i="7"/>
  <c r="C242" i="7"/>
  <c r="C178" i="7"/>
  <c r="B259" i="7"/>
  <c r="B222" i="7"/>
  <c r="B194" i="7"/>
  <c r="C259" i="7"/>
  <c r="B388" i="7"/>
  <c r="B204" i="7"/>
  <c r="C296" i="7"/>
  <c r="C251" i="7"/>
  <c r="B380" i="7"/>
  <c r="B444" i="7"/>
  <c r="B67" i="7"/>
  <c r="C404" i="7"/>
  <c r="C101" i="7"/>
  <c r="B66" i="7"/>
  <c r="B183" i="7"/>
  <c r="B251" i="7"/>
  <c r="C93" i="7"/>
  <c r="B137" i="7"/>
  <c r="C284" i="7"/>
  <c r="C366" i="7"/>
  <c r="B347" i="7"/>
  <c r="C266" i="7"/>
  <c r="B317" i="7"/>
  <c r="C384" i="7"/>
  <c r="B241" i="7"/>
  <c r="B117" i="7"/>
  <c r="C298" i="7"/>
  <c r="B336" i="7"/>
  <c r="C422" i="7"/>
  <c r="C305" i="7"/>
  <c r="C335" i="7"/>
  <c r="B244" i="7"/>
  <c r="B177" i="7"/>
  <c r="C368" i="7"/>
  <c r="C125" i="7"/>
  <c r="C353" i="7"/>
  <c r="C400" i="7"/>
  <c r="B427" i="7"/>
  <c r="B369" i="7"/>
  <c r="C62" i="7"/>
  <c r="B242" i="7"/>
  <c r="B360" i="7"/>
  <c r="C439" i="7"/>
  <c r="B379" i="7"/>
  <c r="B119" i="7"/>
  <c r="C102" i="7"/>
  <c r="B185" i="7"/>
  <c r="C76" i="7"/>
  <c r="C401" i="7"/>
  <c r="B412" i="7"/>
  <c r="C359" i="7"/>
  <c r="B101" i="7"/>
  <c r="C210" i="7"/>
  <c r="C257" i="7"/>
  <c r="B193" i="7"/>
  <c r="C378" i="7"/>
  <c r="B104" i="7"/>
  <c r="B190" i="7"/>
  <c r="C326" i="7"/>
  <c r="B182" i="7"/>
  <c r="C191" i="7"/>
  <c r="C141" i="7"/>
  <c r="C330" i="7"/>
  <c r="B362" i="7"/>
  <c r="B361" i="7"/>
  <c r="B226" i="7"/>
  <c r="B386" i="7"/>
  <c r="B420" i="7"/>
  <c r="C83" i="7"/>
  <c r="B240" i="7"/>
  <c r="B436" i="7"/>
  <c r="C115" i="7"/>
  <c r="C215" i="7"/>
  <c r="B433" i="7"/>
  <c r="B213" i="7"/>
  <c r="C387" i="7"/>
  <c r="C86" i="7"/>
  <c r="B266" i="7"/>
  <c r="C174" i="7"/>
  <c r="C128" i="7"/>
  <c r="C89" i="7"/>
  <c r="B372" i="7"/>
  <c r="D11" i="7"/>
  <c r="B265" i="7"/>
  <c r="B133" i="7"/>
  <c r="C72" i="7"/>
  <c r="B94" i="7"/>
  <c r="C6" i="7"/>
  <c r="C185" i="7"/>
  <c r="B352" i="7"/>
  <c r="B219" i="7"/>
  <c r="B296" i="7"/>
  <c r="C157" i="7"/>
  <c r="B394" i="7"/>
  <c r="C260" i="7"/>
  <c r="C437" i="7"/>
  <c r="C421" i="7"/>
  <c r="C189" i="7"/>
  <c r="C228" i="7"/>
  <c r="C248" i="7"/>
  <c r="B167" i="7"/>
  <c r="C385" i="7"/>
  <c r="B127" i="7"/>
  <c r="C427" i="7"/>
  <c r="C169" i="7"/>
  <c r="B357" i="7"/>
  <c r="C417" i="7"/>
  <c r="I13" i="7"/>
  <c r="B426" i="7"/>
  <c r="B268" i="7"/>
  <c r="B313" i="7"/>
  <c r="B365" i="7"/>
  <c r="C54" i="7"/>
  <c r="C329" i="7"/>
  <c r="C374" i="7"/>
  <c r="B429" i="7"/>
  <c r="B341" i="7"/>
  <c r="B102" i="7"/>
  <c r="B178" i="7"/>
  <c r="B364" i="7"/>
  <c r="C410" i="7"/>
  <c r="C338" i="7"/>
  <c r="B337" i="7"/>
  <c r="B77" i="7"/>
  <c r="C391" i="7"/>
  <c r="C269" i="7"/>
  <c r="C412" i="7"/>
  <c r="B405" i="7"/>
  <c r="B203" i="7"/>
  <c r="B393" i="7"/>
  <c r="B156" i="7"/>
  <c r="B80" i="7"/>
  <c r="B408" i="7"/>
  <c r="C414" i="7"/>
  <c r="C95" i="7"/>
  <c r="B307" i="7"/>
  <c r="C419" i="7"/>
  <c r="B300" i="7"/>
  <c r="C270" i="7"/>
  <c r="B232" i="7"/>
  <c r="C312" i="7"/>
  <c r="C403" i="7"/>
  <c r="B419" i="7"/>
  <c r="C118" i="7"/>
  <c r="C193" i="7"/>
  <c r="C104" i="7"/>
  <c r="B262" i="7"/>
  <c r="G11" i="7"/>
  <c r="B186" i="7"/>
  <c r="C55" i="7"/>
  <c r="B346" i="7"/>
  <c r="B53" i="7"/>
  <c r="C181" i="7"/>
  <c r="B211" i="7"/>
  <c r="L6" i="7"/>
  <c r="C272" i="7"/>
  <c r="B249" i="7"/>
  <c r="B90" i="7"/>
  <c r="B188" i="7"/>
  <c r="C94" i="7"/>
  <c r="C445" i="7"/>
  <c r="B449" i="7"/>
  <c r="C277" i="7"/>
  <c r="C448" i="7"/>
  <c r="C261" i="7"/>
  <c r="C342" i="7"/>
  <c r="C117" i="7"/>
  <c r="K6" i="7"/>
  <c r="B162" i="7"/>
  <c r="C347" i="7"/>
  <c r="C166" i="7"/>
  <c r="B89" i="7"/>
  <c r="C355" i="7"/>
  <c r="B252" i="7"/>
  <c r="B321" i="7"/>
  <c r="C281" i="7"/>
  <c r="B132" i="7"/>
  <c r="B88" i="7"/>
  <c r="B174" i="7"/>
  <c r="C363" i="7"/>
  <c r="C149" i="7"/>
  <c r="C358" i="7"/>
  <c r="C249" i="7"/>
  <c r="E11" i="7"/>
  <c r="B359" i="7"/>
  <c r="H11" i="7"/>
  <c r="C221" i="7"/>
  <c r="H13" i="7"/>
  <c r="B339" i="7"/>
  <c r="C5" i="7"/>
  <c r="K13" i="7"/>
  <c r="C418" i="7"/>
  <c r="C290" i="7"/>
  <c r="C299" i="7"/>
  <c r="B411" i="7"/>
  <c r="C197" i="7"/>
  <c r="B69" i="7"/>
  <c r="C153" i="7"/>
  <c r="B437" i="7"/>
  <c r="B311" i="7"/>
  <c r="C230" i="7"/>
  <c r="C394" i="7"/>
  <c r="C222" i="7"/>
  <c r="C446" i="7"/>
  <c r="C51" i="7"/>
  <c r="C382" i="7"/>
  <c r="C341" i="7"/>
  <c r="C79" i="7"/>
  <c r="B256" i="7"/>
  <c r="C361" i="7"/>
  <c r="C411" i="7"/>
  <c r="C438" i="7"/>
  <c r="C333" i="7"/>
  <c r="C186" i="7"/>
  <c r="C50" i="7"/>
  <c r="B351" i="7"/>
  <c r="D13" i="7"/>
  <c r="B169" i="7"/>
  <c r="J6" i="7"/>
  <c r="B136" i="7"/>
  <c r="C60" i="7"/>
  <c r="C350" i="7"/>
  <c r="C447" i="7"/>
  <c r="I11" i="7"/>
  <c r="C75" i="7"/>
  <c r="C207" i="7"/>
  <c r="B206" i="7"/>
  <c r="B112" i="7"/>
  <c r="B180" i="7"/>
  <c r="C424" i="7"/>
  <c r="B288" i="7"/>
  <c r="B431" i="7"/>
  <c r="B238" i="7"/>
  <c r="B278" i="7"/>
  <c r="B293" i="7"/>
  <c r="K11" i="7"/>
  <c r="C311" i="7"/>
  <c r="C195" i="7"/>
  <c r="B218" i="7"/>
  <c r="C223" i="7"/>
  <c r="B49" i="7"/>
  <c r="B248" i="7"/>
  <c r="B314" i="7"/>
  <c r="B140" i="7"/>
  <c r="B326" i="7"/>
  <c r="C236" i="7"/>
  <c r="B323" i="7"/>
  <c r="C187" i="7"/>
  <c r="C282" i="7"/>
  <c r="B63" i="7"/>
  <c r="C182" i="7"/>
  <c r="C52" i="7"/>
  <c r="C168" i="7"/>
  <c r="B414" i="7"/>
  <c r="C103" i="7"/>
  <c r="C206" i="7"/>
  <c r="C292" i="7"/>
  <c r="C209" i="7"/>
  <c r="B78" i="7"/>
  <c r="B60" i="7"/>
  <c r="B120" i="7"/>
  <c r="C388" i="7"/>
  <c r="B157" i="7"/>
  <c r="C302" i="7"/>
  <c r="C184" i="7"/>
  <c r="C327" i="7"/>
  <c r="B72" i="7"/>
  <c r="B76" i="7"/>
  <c r="B50" i="7"/>
  <c r="C216" i="7"/>
  <c r="C250" i="7"/>
  <c r="C121" i="7"/>
  <c r="C268" i="7"/>
  <c r="C409" i="7"/>
  <c r="B220" i="7"/>
  <c r="C214" i="7"/>
  <c r="B173" i="7"/>
  <c r="B330" i="7"/>
  <c r="C321" i="7"/>
  <c r="C213" i="7"/>
  <c r="J13" i="7"/>
  <c r="B263" i="7"/>
  <c r="B227" i="7"/>
  <c r="B100" i="7"/>
  <c r="C87" i="7"/>
  <c r="B229" i="7"/>
  <c r="B176" i="7"/>
  <c r="B59" i="7"/>
  <c r="B255" i="7"/>
  <c r="C59" i="7"/>
  <c r="B55" i="7"/>
  <c r="C357" i="7"/>
  <c r="B73" i="7"/>
  <c r="C140" i="7"/>
  <c r="B161" i="7"/>
  <c r="C109" i="7"/>
  <c r="B187" i="7"/>
  <c r="C99" i="7"/>
  <c r="C224" i="7"/>
  <c r="C67" i="7"/>
  <c r="B131" i="7"/>
  <c r="B301" i="7"/>
  <c r="B230" i="7"/>
  <c r="C415" i="7"/>
  <c r="C194" i="7"/>
  <c r="C124" i="7"/>
  <c r="B401" i="7"/>
  <c r="B247" i="7"/>
  <c r="B250" i="7"/>
  <c r="C367" i="7"/>
  <c r="C331" i="7"/>
  <c r="B447" i="7"/>
  <c r="C91" i="7"/>
  <c r="B6" i="7"/>
  <c r="B224" i="7"/>
  <c r="B237" i="7"/>
  <c r="C441" i="7"/>
  <c r="E5" i="7"/>
  <c r="C53" i="7"/>
  <c r="C64" i="7"/>
  <c r="D6" i="7"/>
  <c r="C351" i="7"/>
  <c r="B299" i="7"/>
  <c r="B139" i="7"/>
  <c r="L5" i="7"/>
  <c r="C294" i="7"/>
  <c r="B158" i="7"/>
  <c r="C254" i="7"/>
  <c r="B5" i="7"/>
  <c r="B236" i="7"/>
  <c r="B253" i="7"/>
  <c r="B154" i="7"/>
  <c r="C243" i="7"/>
  <c r="F13" i="7"/>
  <c r="B271" i="7"/>
  <c r="C127" i="7"/>
  <c r="B327" i="7"/>
  <c r="C276" i="7"/>
  <c r="C77" i="7"/>
  <c r="B345" i="7"/>
  <c r="C132" i="7"/>
  <c r="B430" i="7"/>
  <c r="C199" i="7"/>
  <c r="B201" i="7"/>
  <c r="C119" i="7"/>
  <c r="B243" i="7"/>
  <c r="B99" i="7"/>
  <c r="C239" i="7"/>
  <c r="C440" i="7"/>
  <c r="C201" i="7"/>
  <c r="C287" i="7"/>
  <c r="B130" i="7"/>
  <c r="C379" i="7"/>
  <c r="C170" i="7"/>
  <c r="B398" i="7"/>
  <c r="C164" i="7"/>
  <c r="C252" i="7"/>
  <c r="B56" i="7"/>
  <c r="B175" i="7"/>
  <c r="B96" i="7"/>
  <c r="B52" i="7"/>
  <c r="B260" i="7"/>
  <c r="C263" i="7"/>
  <c r="C143" i="7"/>
  <c r="B51" i="7"/>
  <c r="C344" i="7"/>
  <c r="B209" i="7"/>
  <c r="B85" i="7"/>
  <c r="C65" i="7"/>
  <c r="B191" i="7"/>
  <c r="B166" i="7"/>
  <c r="C227" i="7"/>
  <c r="C360" i="7"/>
  <c r="C402" i="7"/>
  <c r="B354" i="7"/>
  <c r="C328" i="7"/>
  <c r="C320" i="7"/>
  <c r="B83" i="7"/>
  <c r="B424" i="7"/>
  <c r="B86" i="7"/>
  <c r="C317" i="7"/>
  <c r="B58" i="7"/>
  <c r="C433" i="7"/>
  <c r="C334" i="7"/>
  <c r="C200" i="7"/>
  <c r="B396" i="7"/>
  <c r="B195" i="7"/>
  <c r="B141" i="7"/>
  <c r="B212" i="7"/>
  <c r="B210" i="7"/>
  <c r="B416" i="7"/>
  <c r="B118" i="7"/>
  <c r="B235" i="7"/>
  <c r="C430" i="7"/>
  <c r="B329" i="7"/>
  <c r="B381" i="7"/>
  <c r="C380" i="7"/>
  <c r="B264" i="7"/>
  <c r="C49" i="7"/>
  <c r="B163" i="7"/>
  <c r="B415" i="7"/>
  <c r="C371" i="7"/>
  <c r="B165" i="7"/>
  <c r="B221" i="7"/>
  <c r="B343" i="7"/>
  <c r="B61" i="7"/>
  <c r="B295" i="7"/>
  <c r="I5" i="7"/>
  <c r="C68" i="7"/>
  <c r="C198" i="7"/>
  <c r="B367" i="7"/>
  <c r="C389" i="7"/>
  <c r="C429" i="7"/>
  <c r="C105" i="7"/>
  <c r="B328" i="7"/>
  <c r="B228" i="7"/>
  <c r="B239" i="7"/>
  <c r="B84" i="7"/>
  <c r="B306" i="7"/>
  <c r="C314" i="7"/>
  <c r="B333" i="7"/>
  <c r="B148" i="7"/>
  <c r="J11" i="7"/>
  <c r="P81" i="11" l="1"/>
  <c r="C7" i="7"/>
  <c r="D20" i="7" s="1"/>
  <c r="I7" i="7"/>
  <c r="D38" i="7" s="1"/>
  <c r="J7" i="7"/>
  <c r="H7" i="7"/>
  <c r="D7" i="7"/>
  <c r="G7" i="7"/>
  <c r="B7" i="7"/>
  <c r="D17" i="7" s="1"/>
  <c r="F7" i="7"/>
  <c r="E7" i="7"/>
  <c r="H44" i="11"/>
  <c r="E41" i="11"/>
  <c r="O82" i="11"/>
  <c r="M83" i="11"/>
  <c r="L10" i="7"/>
  <c r="M4" i="7"/>
  <c r="K7" i="7"/>
  <c r="D44" i="7" s="1"/>
  <c r="C35" i="1"/>
  <c r="C58" i="1"/>
  <c r="C41" i="1"/>
  <c r="L13" i="7"/>
  <c r="L11" i="7"/>
  <c r="M6" i="7"/>
  <c r="M5" i="7"/>
  <c r="P82" i="11" l="1"/>
  <c r="D29" i="7"/>
  <c r="E32" i="7" s="1"/>
  <c r="D35" i="7"/>
  <c r="D36" i="7" s="1"/>
  <c r="E39" i="7" s="1"/>
  <c r="D41" i="7"/>
  <c r="D42" i="7" s="1"/>
  <c r="E45" i="7" s="1"/>
  <c r="D32" i="7"/>
  <c r="E35" i="7" s="1"/>
  <c r="D26" i="7"/>
  <c r="E29" i="7" s="1"/>
  <c r="D23" i="7"/>
  <c r="D24" i="7" s="1"/>
  <c r="E27" i="7" s="1"/>
  <c r="D30" i="7"/>
  <c r="E20" i="7"/>
  <c r="D18" i="7"/>
  <c r="E21" i="7" s="1"/>
  <c r="D39" i="7"/>
  <c r="E41" i="7"/>
  <c r="D21" i="7"/>
  <c r="E23" i="7"/>
  <c r="O83" i="11"/>
  <c r="M84" i="11"/>
  <c r="D45" i="7"/>
  <c r="L7" i="7"/>
  <c r="M10" i="7"/>
  <c r="N4" i="7"/>
  <c r="N5" i="7"/>
  <c r="N6" i="7"/>
  <c r="M13" i="7"/>
  <c r="M11" i="7"/>
  <c r="D27" i="7" l="1"/>
  <c r="P83" i="11"/>
  <c r="E26" i="7"/>
  <c r="E44" i="7"/>
  <c r="D33" i="7"/>
  <c r="E36" i="7" s="1"/>
  <c r="E38" i="7"/>
  <c r="E30" i="7"/>
  <c r="E33" i="7"/>
  <c r="E42" i="7"/>
  <c r="E24" i="7"/>
  <c r="M85" i="11"/>
  <c r="O85" i="11" s="1"/>
  <c r="O84" i="11"/>
  <c r="M7" i="7"/>
  <c r="O4" i="7"/>
  <c r="N10" i="7"/>
  <c r="O5" i="7"/>
  <c r="N13" i="7"/>
  <c r="N11" i="7"/>
  <c r="O6" i="7"/>
  <c r="P84" i="11" l="1"/>
  <c r="P85" i="11" s="1"/>
  <c r="V40" i="11"/>
  <c r="V41" i="11" s="1"/>
  <c r="O10" i="7"/>
  <c r="N7" i="7"/>
  <c r="P4" i="7"/>
  <c r="O13" i="7"/>
  <c r="O11" i="7"/>
  <c r="P6" i="7"/>
  <c r="P5" i="7"/>
  <c r="O7" i="7" l="1"/>
  <c r="Q4" i="7"/>
  <c r="P10" i="7"/>
  <c r="Q6" i="7"/>
  <c r="P13" i="7"/>
  <c r="P11" i="7"/>
  <c r="Q5" i="7"/>
  <c r="R11" i="7" l="1"/>
  <c r="Q10" i="7"/>
  <c r="R5" i="7"/>
  <c r="B8" i="7" s="1"/>
  <c r="P7" i="7"/>
  <c r="R7" i="7" s="1"/>
  <c r="Q13" i="7"/>
  <c r="B17" i="7" l="1"/>
  <c r="C8" i="7"/>
  <c r="B20" i="7" s="1"/>
  <c r="D8" i="7"/>
  <c r="B23" i="7" s="1"/>
  <c r="E8" i="7"/>
  <c r="B26" i="7" s="1"/>
  <c r="F8" i="7"/>
  <c r="B29" i="7" s="1"/>
  <c r="G8" i="7"/>
  <c r="B32" i="7" s="1"/>
  <c r="H8" i="7"/>
  <c r="B35" i="7" s="1"/>
  <c r="I8" i="7"/>
  <c r="B38" i="7" s="1"/>
  <c r="J8" i="7"/>
  <c r="B41" i="7" s="1"/>
  <c r="K8" i="7"/>
  <c r="B44" i="7" s="1"/>
  <c r="L8" i="7"/>
  <c r="M8" i="7"/>
  <c r="N8" i="7"/>
  <c r="O8" i="7"/>
  <c r="P8" i="7"/>
  <c r="D12" i="7"/>
  <c r="C23" i="7" s="1"/>
  <c r="B12" i="7"/>
  <c r="C17" i="7" s="1"/>
  <c r="C12" i="7"/>
  <c r="C20" i="7" s="1"/>
  <c r="E12" i="7"/>
  <c r="C26" i="7" s="1"/>
  <c r="F12" i="7"/>
  <c r="C29" i="7" s="1"/>
  <c r="G12" i="7"/>
  <c r="C32" i="7" s="1"/>
  <c r="H12" i="7"/>
  <c r="C35" i="7" s="1"/>
  <c r="I12" i="7"/>
  <c r="C38" i="7" s="1"/>
  <c r="J12" i="7"/>
  <c r="C41" i="7" s="1"/>
  <c r="K12" i="7"/>
  <c r="C44" i="7" s="1"/>
  <c r="L12" i="7"/>
  <c r="M12" i="7"/>
  <c r="N12" i="7"/>
  <c r="O12" i="7"/>
  <c r="P12" i="7"/>
  <c r="C30" i="7" l="1"/>
  <c r="C24" i="7"/>
  <c r="B39" i="7"/>
  <c r="B27" i="7"/>
  <c r="C39" i="7"/>
  <c r="C27" i="7"/>
  <c r="B36" i="7"/>
  <c r="B24" i="7"/>
  <c r="C36" i="7"/>
  <c r="B45" i="7"/>
  <c r="B21" i="7"/>
  <c r="C42" i="7"/>
  <c r="C21" i="7"/>
  <c r="B33" i="7"/>
  <c r="C45" i="7"/>
  <c r="C33" i="7"/>
  <c r="R12" i="7"/>
  <c r="B42" i="7"/>
  <c r="B30" i="7"/>
  <c r="B18" i="7"/>
  <c r="C18" i="7" l="1"/>
</calcChain>
</file>

<file path=xl/sharedStrings.xml><?xml version="1.0" encoding="utf-8"?>
<sst xmlns="http://schemas.openxmlformats.org/spreadsheetml/2006/main" count="116" uniqueCount="74">
  <si>
    <t>y</t>
  </si>
  <si>
    <t>y'</t>
  </si>
  <si>
    <t>y_appr</t>
  </si>
  <si>
    <t>y'_appr</t>
  </si>
  <si>
    <t>t</t>
  </si>
  <si>
    <t>x</t>
  </si>
  <si>
    <t>unif</t>
  </si>
  <si>
    <t>Y</t>
  </si>
  <si>
    <t>h</t>
  </si>
  <si>
    <t>title</t>
  </si>
  <si>
    <t>SUM</t>
  </si>
  <si>
    <t>pdf</t>
  </si>
  <si>
    <t>cdf</t>
  </si>
  <si>
    <t>pmf</t>
  </si>
  <si>
    <t>pmf_norm</t>
  </si>
  <si>
    <t>Lauinger</t>
  </si>
  <si>
    <t>Unif</t>
  </si>
  <si>
    <t>pdf_h</t>
  </si>
  <si>
    <t>y2</t>
  </si>
  <si>
    <t>y1</t>
  </si>
  <si>
    <t>h_disc</t>
  </si>
  <si>
    <t>Delta_t</t>
  </si>
  <si>
    <t>a</t>
  </si>
  <si>
    <t>b</t>
  </si>
  <si>
    <t>c</t>
  </si>
  <si>
    <t>Tria</t>
  </si>
  <si>
    <t>Tria_unif</t>
  </si>
  <si>
    <t>y3</t>
  </si>
  <si>
    <t>y3-y2</t>
  </si>
  <si>
    <t>dashed lines</t>
  </si>
  <si>
    <t>XL Toolbox Settings</t>
  </si>
  <si>
    <t>export_preset</t>
  </si>
  <si>
    <t>export_path</t>
  </si>
  <si>
    <t>L</t>
  </si>
  <si>
    <t>&lt;?xml version="1.0" encoding="utf-16"?&gt;_x000D_
&lt;Preset xmlns:xsi="http://www.w3.org/2001/XMLSchema-instance" xmlns:xsd="http://www.w3.org/2001/XMLSchema"&gt;_x000D_
  &lt;Name&gt;Tiff, 1000 dpi, RGB, Weiße Leinwand&lt;/Name&gt;_x000D_
  &lt;Dpi&gt;1000&lt;/Dpi&gt;_x000D_
  &lt;FileType&gt;Tiff&lt;/FileType&gt;_x000D_
  &lt;ColorSpace&gt;Rgb&lt;/ColorSpace&gt;_x000D_
  &lt;Transparency&gt;WhiteCanvas&lt;/Transparency&gt;_x000D_
  &lt;UseColorProfile&gt;false&lt;/UseColorProfile&gt;_x000D_
  &lt;ColorProfile&gt;CNBATDB0&lt;/ColorProfile&gt;_x000D_
&lt;/Preset&gt;</t>
  </si>
  <si>
    <t>D:\Benutzer OC\Dropbox\Problemdateien\Pauliuk\JIE\2nd Submission JIE\Revision\Figures\Figure 2.tif</t>
  </si>
  <si>
    <t>Help lines</t>
  </si>
  <si>
    <t>l</t>
  </si>
  <si>
    <t>I@S</t>
  </si>
  <si>
    <t>I@E</t>
  </si>
  <si>
    <t>l(t)</t>
  </si>
  <si>
    <t>h(t)</t>
  </si>
  <si>
    <t>cont (left)</t>
  </si>
  <si>
    <t>cont (mid_low)</t>
  </si>
  <si>
    <t>cont (mid_up)</t>
  </si>
  <si>
    <t>cont (right)</t>
  </si>
  <si>
    <t>orange (mid_up)</t>
  </si>
  <si>
    <t>orange (mid_low)</t>
  </si>
  <si>
    <t>orange (right)</t>
  </si>
  <si>
    <t>grey dashed (mid)</t>
  </si>
  <si>
    <t>black dashed hor (right)</t>
  </si>
  <si>
    <t>black vert (mid)</t>
  </si>
  <si>
    <t>green, hor (right)</t>
  </si>
  <si>
    <t>green, vert, dashed (right)</t>
  </si>
  <si>
    <t>sum(y3-y2)</t>
  </si>
  <si>
    <t>blue, hor (left)</t>
  </si>
  <si>
    <t>blue, vert (left)</t>
  </si>
  <si>
    <t>blue vert. dotted (bottom)</t>
  </si>
  <si>
    <t>orange (top)</t>
  </si>
  <si>
    <t>yellow (top)</t>
  </si>
  <si>
    <t>blue dashed (top)</t>
  </si>
  <si>
    <t>blue dashed (bottom)</t>
  </si>
  <si>
    <t>blue solid (top)</t>
  </si>
  <si>
    <t>blue solid (bottom)</t>
  </si>
  <si>
    <t>blue (left)</t>
  </si>
  <si>
    <t>blue (mid)</t>
  </si>
  <si>
    <t>orange (mid)</t>
  </si>
  <si>
    <t>blue (right)</t>
  </si>
  <si>
    <t>black solid</t>
  </si>
  <si>
    <t>black dashed</t>
  </si>
  <si>
    <t>red</t>
  </si>
  <si>
    <t>green</t>
  </si>
  <si>
    <t>yellow</t>
  </si>
  <si>
    <t>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</si>
</sst>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0" fillId="0" borderId="0" xfId="0" quotePrefix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779269859699214E-2"/>
          <c:y val="4.3456783364357598E-2"/>
          <c:w val="0.73594687581879015"/>
          <c:h val="0.7811227714789118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'Figure 1'!$C$2</c:f>
              <c:strCache>
                <c:ptCount val="1"/>
                <c:pt idx="0">
                  <c:v>y'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'Figure 1'!$A$3:$A$19</c:f>
              <c:numCache>
                <c:formatCode>General</c:formatCode>
                <c:ptCount val="1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</c:numCache>
            </c:numRef>
          </c:xVal>
          <c:yVal>
            <c:numRef>
              <c:f>'Figure 1'!$C$3:$C$19</c:f>
              <c:numCache>
                <c:formatCode>General</c:formatCode>
                <c:ptCount val="17"/>
                <c:pt idx="0">
                  <c:v>17.5</c:v>
                </c:pt>
                <c:pt idx="1">
                  <c:v>16.978807164342356</c:v>
                </c:pt>
                <c:pt idx="2">
                  <c:v>15.487666516553656</c:v>
                </c:pt>
                <c:pt idx="3">
                  <c:v>13.233823875989996</c:v>
                </c:pt>
                <c:pt idx="4">
                  <c:v>10.530529012507772</c:v>
                </c:pt>
                <c:pt idx="5">
                  <c:v>7.7534987035781935</c:v>
                </c:pt>
                <c:pt idx="6">
                  <c:v>5.2886978295794567</c:v>
                </c:pt>
                <c:pt idx="7">
                  <c:v>3.478696139005117</c:v>
                </c:pt>
                <c:pt idx="8">
                  <c:v>2.5750562754966602</c:v>
                </c:pt>
                <c:pt idx="9">
                  <c:v>2.7033704051541516</c:v>
                </c:pt>
                <c:pt idx="10">
                  <c:v>3.8458048199532948</c:v>
                </c:pt>
                <c:pt idx="11">
                  <c:v>5.8435785513068748</c:v>
                </c:pt>
                <c:pt idx="12">
                  <c:v>8.419031504269153</c:v>
                </c:pt>
                <c:pt idx="13">
                  <c:v>11.214214978131526</c:v>
                </c:pt>
                <c:pt idx="14">
                  <c:v>13.840641079313805</c:v>
                </c:pt>
                <c:pt idx="15">
                  <c:v>15.93327661653054</c:v>
                </c:pt>
                <c:pt idx="16">
                  <c:v>17.201277149877747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A3-4E17-ABF7-74837253A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93839"/>
        <c:axId val="347390095"/>
      </c:scatterChart>
      <c:scatterChart>
        <c:scatterStyle val="lineMarker"/>
        <c:varyColors val="0"/>
        <c:ser>
          <c:idx val="3"/>
          <c:order val="1"/>
          <c:tx>
            <c:strRef>
              <c:f>'Figure 1'!$C$30</c:f>
              <c:strCache>
                <c:ptCount val="1"/>
                <c:pt idx="0">
                  <c:v>y'_appr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  <a:headEnd type="oval"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ACA3-4E17-ABF7-74837253A648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84A-4677-85A1-655970752A09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ACA3-4E17-ABF7-74837253A648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84A-4677-85A1-655970752A09}"/>
              </c:ext>
            </c:extLst>
          </c:dPt>
          <c:xVal>
            <c:numRef>
              <c:f>'Figure 1'!$A$31:$A$41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3</c:v>
                </c:pt>
                <c:pt idx="10">
                  <c:v>4</c:v>
                </c:pt>
              </c:numCache>
            </c:numRef>
          </c:xVal>
          <c:yVal>
            <c:numRef>
              <c:f>'Figure 1'!$C$31:$C$41</c:f>
              <c:numCache>
                <c:formatCode>General</c:formatCode>
                <c:ptCount val="11"/>
                <c:pt idx="0">
                  <c:v>14.987474933020273</c:v>
                </c:pt>
                <c:pt idx="1">
                  <c:v>14.987474933020273</c:v>
                </c:pt>
                <c:pt idx="3">
                  <c:v>5.7181251072790644</c:v>
                </c:pt>
                <c:pt idx="4">
                  <c:v>5.7181251072790644</c:v>
                </c:pt>
                <c:pt idx="6">
                  <c:v>4.4067493713751773</c:v>
                </c:pt>
                <c:pt idx="7">
                  <c:v>4.4067493713751773</c:v>
                </c:pt>
                <c:pt idx="9">
                  <c:v>13.490573097330852</c:v>
                </c:pt>
                <c:pt idx="10">
                  <c:v>13.490573097330852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CA3-4E17-ABF7-74837253A648}"/>
            </c:ext>
          </c:extLst>
        </c:ser>
        <c:ser>
          <c:idx val="4"/>
          <c:order val="2"/>
          <c:tx>
            <c:strRef>
              <c:f>'Figure 1'!$C$43</c:f>
              <c:strCache>
                <c:ptCount val="1"/>
                <c:pt idx="0">
                  <c:v>blue vert. dotted (bottom)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'Figure 1'!$A$45:$A$58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3</c:v>
                </c:pt>
                <c:pt idx="10">
                  <c:v>3</c:v>
                </c:pt>
                <c:pt idx="12">
                  <c:v>4</c:v>
                </c:pt>
                <c:pt idx="13">
                  <c:v>4</c:v>
                </c:pt>
              </c:numCache>
            </c:numRef>
          </c:xVal>
          <c:yVal>
            <c:numRef>
              <c:f>'Figure 1'!$C$45:$C$58</c:f>
              <c:numCache>
                <c:formatCode>General</c:formatCode>
                <c:ptCount val="14"/>
                <c:pt idx="0">
                  <c:v>0</c:v>
                </c:pt>
                <c:pt idx="1">
                  <c:v>14.987474933020273</c:v>
                </c:pt>
                <c:pt idx="3">
                  <c:v>0</c:v>
                </c:pt>
                <c:pt idx="4">
                  <c:v>14.987474933020273</c:v>
                </c:pt>
                <c:pt idx="6">
                  <c:v>0</c:v>
                </c:pt>
                <c:pt idx="7">
                  <c:v>5.7181251072790644</c:v>
                </c:pt>
                <c:pt idx="9">
                  <c:v>0</c:v>
                </c:pt>
                <c:pt idx="10">
                  <c:v>13.490573097330852</c:v>
                </c:pt>
                <c:pt idx="12">
                  <c:v>0</c:v>
                </c:pt>
                <c:pt idx="13">
                  <c:v>13.490573097330852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CA3-4E17-ABF7-74837253A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93839"/>
        <c:axId val="347390095"/>
      </c:scatterChart>
      <c:valAx>
        <c:axId val="347393839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>
                    <a:solidFill>
                      <a:schemeClr val="tx1"/>
                    </a:solidFill>
                  </a:rPr>
                  <a:t>x = time</a:t>
                </a:r>
                <a:r>
                  <a:rPr lang="de-AT" baseline="0">
                    <a:solidFill>
                      <a:schemeClr val="tx1"/>
                    </a:solidFill>
                  </a:rPr>
                  <a:t> [s]</a:t>
                </a:r>
                <a:endParaRPr lang="de-AT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7390095"/>
        <c:crosses val="autoZero"/>
        <c:crossBetween val="midCat"/>
      </c:valAx>
      <c:valAx>
        <c:axId val="34739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>
                    <a:solidFill>
                      <a:schemeClr val="tx1"/>
                    </a:solidFill>
                  </a:rPr>
                  <a:t>y'</a:t>
                </a:r>
                <a:r>
                  <a:rPr lang="de-AT" baseline="0">
                    <a:solidFill>
                      <a:schemeClr val="tx1"/>
                    </a:solidFill>
                  </a:rPr>
                  <a:t> = m</a:t>
                </a:r>
                <a:r>
                  <a:rPr lang="de-AT">
                    <a:solidFill>
                      <a:schemeClr val="tx1"/>
                    </a:solidFill>
                  </a:rPr>
                  <a:t>ass</a:t>
                </a:r>
                <a:r>
                  <a:rPr lang="de-AT" baseline="0">
                    <a:solidFill>
                      <a:schemeClr val="tx1"/>
                    </a:solidFill>
                  </a:rPr>
                  <a:t> flow rate [kg/s]</a:t>
                </a:r>
                <a:endParaRPr lang="de-AT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7393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84180403618751132"/>
          <c:y val="0.39999931564120694"/>
          <c:w val="0.15190170784145349"/>
          <c:h val="0.200001368717586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y_cont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'Figure 1'!$A$3:$A$19</c:f>
              <c:numCache>
                <c:formatCode>General</c:formatCode>
                <c:ptCount val="17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</c:numCache>
            </c:numRef>
          </c:xVal>
          <c:yVal>
            <c:numRef>
              <c:f>'Figure 1'!$B$3:$B$19</c:f>
              <c:numCache>
                <c:formatCode>General</c:formatCode>
                <c:ptCount val="17"/>
                <c:pt idx="0">
                  <c:v>0</c:v>
                </c:pt>
                <c:pt idx="1">
                  <c:v>4.3313626454302376</c:v>
                </c:pt>
                <c:pt idx="2">
                  <c:v>8.4081938001166705</c:v>
                </c:pt>
                <c:pt idx="3">
                  <c:v>12.011337970495475</c:v>
                </c:pt>
                <c:pt idx="4">
                  <c:v>14.987474933020273</c:v>
                </c:pt>
                <c:pt idx="5">
                  <c:v>17.270428908048469</c:v>
                </c:pt>
                <c:pt idx="6">
                  <c:v>18.890365984439605</c:v>
                </c:pt>
                <c:pt idx="7">
                  <c:v>19.969601493050448</c:v>
                </c:pt>
                <c:pt idx="8">
                  <c:v>20.705600040299338</c:v>
                </c:pt>
                <c:pt idx="9">
                  <c:v>21.34353093798989</c:v>
                </c:pt>
                <c:pt idx="10">
                  <c:v>22.142193406288282</c:v>
                </c:pt>
                <c:pt idx="11">
                  <c:v>23.338047427210064</c:v>
                </c:pt>
                <c:pt idx="12">
                  <c:v>25.112349411674515</c:v>
                </c:pt>
                <c:pt idx="13">
                  <c:v>27.565960321427795</c:v>
                </c:pt>
                <c:pt idx="14">
                  <c:v>30.705327532867038</c:v>
                </c:pt>
                <c:pt idx="15">
                  <c:v>34.441588750003838</c:v>
                </c:pt>
                <c:pt idx="16">
                  <c:v>38.602922509005367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84-40E8-931D-3B22FB02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93839"/>
        <c:axId val="347390095"/>
      </c:scatterChart>
      <c:scatterChart>
        <c:scatterStyle val="lineMarker"/>
        <c:varyColors val="0"/>
        <c:ser>
          <c:idx val="2"/>
          <c:order val="1"/>
          <c:tx>
            <c:v>y_lin</c:v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'Figure 1'!$A$23:$A$27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'Figure 1'!$B$23:$B$27</c:f>
              <c:numCache>
                <c:formatCode>General</c:formatCode>
                <c:ptCount val="5"/>
                <c:pt idx="0">
                  <c:v>0</c:v>
                </c:pt>
                <c:pt idx="1">
                  <c:v>14.987474933020273</c:v>
                </c:pt>
                <c:pt idx="2">
                  <c:v>20.705600040299338</c:v>
                </c:pt>
                <c:pt idx="3">
                  <c:v>25.112349411674515</c:v>
                </c:pt>
                <c:pt idx="4">
                  <c:v>38.602922509005367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84-40E8-931D-3B22FB021F5C}"/>
            </c:ext>
          </c:extLst>
        </c:ser>
        <c:ser>
          <c:idx val="1"/>
          <c:order val="2"/>
          <c:tx>
            <c:v>y_start</c:v>
          </c:tx>
          <c:spPr>
            <a:ln w="19050" cap="sq">
              <a:solidFill>
                <a:schemeClr val="accent2"/>
              </a:solidFill>
              <a:round/>
              <a:headEnd type="oval"/>
            </a:ln>
            <a:effectLst/>
          </c:spPr>
          <c:marker>
            <c:symbol val="none"/>
          </c:marker>
          <c:xVal>
            <c:numRef>
              <c:f>'Figure 1'!$F$45:$F$55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3</c:v>
                </c:pt>
                <c:pt idx="10">
                  <c:v>4</c:v>
                </c:pt>
              </c:numCache>
            </c:numRef>
          </c:xVal>
          <c:yVal>
            <c:numRef>
              <c:f>'Figure 1'!$G$45:$G$55</c:f>
              <c:numCache>
                <c:formatCode>General</c:formatCode>
                <c:ptCount val="11"/>
                <c:pt idx="0">
                  <c:v>14.987474933020273</c:v>
                </c:pt>
                <c:pt idx="1">
                  <c:v>14.987474933020273</c:v>
                </c:pt>
                <c:pt idx="3">
                  <c:v>20.705600040299338</c:v>
                </c:pt>
                <c:pt idx="4">
                  <c:v>20.705600040299338</c:v>
                </c:pt>
                <c:pt idx="6">
                  <c:v>25.112349411674515</c:v>
                </c:pt>
                <c:pt idx="7">
                  <c:v>25.112349411674515</c:v>
                </c:pt>
                <c:pt idx="9">
                  <c:v>38.602922509005367</c:v>
                </c:pt>
                <c:pt idx="10">
                  <c:v>38.602922509005367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9A-4D1C-8DAC-3CCEF4F2DA5C}"/>
            </c:ext>
          </c:extLst>
        </c:ser>
        <c:ser>
          <c:idx val="3"/>
          <c:order val="3"/>
          <c:tx>
            <c:v>y_end</c:v>
          </c:tx>
          <c:spPr>
            <a:ln w="19050" cap="rnd">
              <a:solidFill>
                <a:schemeClr val="accent4"/>
              </a:solidFill>
              <a:round/>
              <a:headEnd type="oval"/>
              <a:tailEnd type="none"/>
            </a:ln>
            <a:effectLst/>
          </c:spPr>
          <c:marker>
            <c:symbol val="none"/>
          </c:marker>
          <c:xVal>
            <c:numRef>
              <c:f>'Figure 1'!$F$45:$F$55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3</c:v>
                </c:pt>
                <c:pt idx="10">
                  <c:v>4</c:v>
                </c:pt>
              </c:numCache>
            </c:numRef>
          </c:xVal>
          <c:yVal>
            <c:numRef>
              <c:f>'Figure 1'!$H$45:$H$55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3">
                  <c:v>14.987474933020273</c:v>
                </c:pt>
                <c:pt idx="4">
                  <c:v>14.987474933020273</c:v>
                </c:pt>
                <c:pt idx="6">
                  <c:v>20.705600040299338</c:v>
                </c:pt>
                <c:pt idx="7">
                  <c:v>20.705600040299338</c:v>
                </c:pt>
                <c:pt idx="9">
                  <c:v>25.112349411674515</c:v>
                </c:pt>
                <c:pt idx="10">
                  <c:v>25.112349411674515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9A-4D1C-8DAC-3CCEF4F2D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393839"/>
        <c:axId val="347390095"/>
      </c:scatterChart>
      <c:valAx>
        <c:axId val="347393839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>
                    <a:solidFill>
                      <a:schemeClr val="tx1"/>
                    </a:solidFill>
                  </a:rPr>
                  <a:t>x =</a:t>
                </a:r>
                <a:r>
                  <a:rPr lang="de-AT" baseline="0">
                    <a:solidFill>
                      <a:schemeClr val="tx1"/>
                    </a:solidFill>
                  </a:rPr>
                  <a:t> t</a:t>
                </a:r>
                <a:r>
                  <a:rPr lang="de-AT">
                    <a:solidFill>
                      <a:schemeClr val="tx1"/>
                    </a:solidFill>
                  </a:rPr>
                  <a:t>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7390095"/>
        <c:crosses val="autoZero"/>
        <c:crossBetween val="midCat"/>
        <c:majorUnit val="0.5"/>
      </c:valAx>
      <c:valAx>
        <c:axId val="34739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>
                    <a:solidFill>
                      <a:schemeClr val="tx1"/>
                    </a:solidFill>
                  </a:rPr>
                  <a:t>y = sum of mass flows [kg]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7393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uniformly</a:t>
            </a:r>
            <a:r>
              <a:rPr lang="en-US" baseline="0">
                <a:solidFill>
                  <a:schemeClr val="tx1"/>
                </a:solidFill>
              </a:rPr>
              <a:t> distributed inflow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2'!$B$2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'Figure 2'!$A$3:$A$11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</c:numCache>
            </c:numRef>
          </c:xVal>
          <c:yVal>
            <c:numRef>
              <c:f>'Figure 2'!$B$3:$B$11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DF-447C-95E8-28FBB66C3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707791"/>
        <c:axId val="992709455"/>
      </c:scatterChart>
      <c:valAx>
        <c:axId val="992707791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i="0"/>
                  <a:t>t</a:t>
                </a:r>
              </a:p>
            </c:rich>
          </c:tx>
          <c:layout>
            <c:manualLayout>
              <c:xMode val="edge"/>
              <c:yMode val="edge"/>
              <c:x val="0.96618167003933664"/>
              <c:y val="0.80460629921259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9455"/>
        <c:crosses val="autoZero"/>
        <c:crossBetween val="midCat"/>
      </c:valAx>
      <c:valAx>
        <c:axId val="992709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𝜒</a:t>
                </a:r>
                <a:r>
                  <a:rPr lang="en-US" sz="1000" b="0" i="0" u="none" strike="noStrike" baseline="-25000">
                    <a:effectLst/>
                  </a:rPr>
                  <a:t>𝑝2</a:t>
                </a:r>
                <a:r>
                  <a:rPr lang="en-US" sz="1000" b="0" i="0" u="none" strike="noStrike" baseline="0">
                    <a:effectLst/>
                  </a:rPr>
                  <a:t>(t), 𝜒</a:t>
                </a:r>
                <a:r>
                  <a:rPr lang="en-US" sz="1000" b="0" i="0" u="none" strike="noStrike" baseline="-25000">
                    <a:effectLst/>
                  </a:rPr>
                  <a:t>𝜋1</a:t>
                </a:r>
                <a:r>
                  <a:rPr lang="en-US" sz="1000" b="0" i="0" u="none" strike="noStrike" baseline="0">
                    <a:effectLst/>
                  </a:rPr>
                  <a:t>(</a:t>
                </a:r>
                <a:r>
                  <a:rPr lang="de-AT" sz="1000" b="0" i="0" u="none" strike="noStrike" baseline="0">
                    <a:effectLst/>
                  </a:rPr>
                  <a:t>𝜏</a:t>
                </a:r>
                <a:r>
                  <a:rPr lang="en-US" sz="1000" b="0" i="0" u="none" strike="noStrike" baseline="0">
                    <a:effectLst/>
                  </a:rPr>
                  <a:t>) </a:t>
                </a:r>
                <a:r>
                  <a:rPr lang="de-AT"/>
                  <a:t>- 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7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solidFill>
                  <a:schemeClr val="tx1"/>
                </a:solidFill>
              </a:rPr>
              <a:t>uniformly distributed lifetime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2'!$B$14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'Figure 2'!$A$15:$A$23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</c:numCache>
            </c:numRef>
          </c:xVal>
          <c:yVal>
            <c:numRef>
              <c:f>'Figure 2'!$B$15:$B$23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1D-459A-BE11-44E803F287E7}"/>
            </c:ext>
          </c:extLst>
        </c:ser>
        <c:ser>
          <c:idx val="1"/>
          <c:order val="1"/>
          <c:tx>
            <c:v>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'Figure 2'!$A$27:$A$33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'Figure 2'!$B$27:$B$33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1D-459A-BE11-44E803F28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737743"/>
        <c:axId val="992736079"/>
      </c:scatterChart>
      <c:valAx>
        <c:axId val="992737743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0" u="none" strike="noStrike" baseline="0">
                    <a:effectLst/>
                  </a:rPr>
                  <a:t>  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36079"/>
        <c:crosses val="autoZero"/>
        <c:crossBetween val="midCat"/>
      </c:valAx>
      <c:valAx>
        <c:axId val="99273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i="0">
                    <a:effectLst/>
                  </a:rPr>
                  <a:t>f(τ ̇) </a:t>
                </a:r>
                <a:r>
                  <a:rPr lang="de-AT" sz="1000" b="0" i="0"/>
                  <a:t>- density,</a:t>
                </a:r>
                <a:r>
                  <a:rPr lang="de-AT" sz="1000" b="0" i="0" baseline="0"/>
                  <a:t> F</a:t>
                </a:r>
                <a:r>
                  <a:rPr lang="de-AT" sz="1000" b="0" i="0" u="none" strike="noStrike" baseline="0">
                    <a:effectLst/>
                  </a:rPr>
                  <a:t>(τ ̇) -</a:t>
                </a:r>
                <a:r>
                  <a:rPr lang="de-AT" sz="1000" b="0" i="0"/>
                  <a:t>cum.</a:t>
                </a:r>
                <a:r>
                  <a:rPr lang="de-AT" sz="1000" b="0" i="0" baseline="0"/>
                  <a:t> prob.</a:t>
                </a:r>
                <a:endParaRPr lang="de-AT" sz="1000" b="0" i="0"/>
              </a:p>
            </c:rich>
          </c:tx>
          <c:layout>
            <c:manualLayout>
              <c:xMode val="edge"/>
              <c:yMode val="edge"/>
              <c:x val="3.7319762510602206E-2"/>
              <c:y val="0.200119568387284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37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convolution =&gt; outflow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2'!$B$36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'Figure 2'!$A$37:$A$43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'Figure 2'!$B$37:$B$43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F-4C41-BFDA-B460F4CBC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108479"/>
        <c:axId val="1200106815"/>
      </c:scatterChart>
      <c:valAx>
        <c:axId val="120010847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i="0"/>
                  <a:t>t</a:t>
                </a:r>
              </a:p>
            </c:rich>
          </c:tx>
          <c:layout>
            <c:manualLayout>
              <c:xMode val="edge"/>
              <c:yMode val="edge"/>
              <c:x val="0.96618167003933664"/>
              <c:y val="0.809235928842228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0106815"/>
        <c:crosses val="autoZero"/>
        <c:crossBetween val="midCat"/>
      </c:valAx>
      <c:valAx>
        <c:axId val="1200106815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g(t), h(</a:t>
                </a:r>
                <a:r>
                  <a:rPr lang="de-AT" sz="1000" b="0" i="0" u="none" strike="noStrike" baseline="0">
                    <a:effectLst/>
                  </a:rPr>
                  <a:t>𝜏</a:t>
                </a:r>
                <a:r>
                  <a:rPr lang="de-AT"/>
                  <a:t>)</a:t>
                </a:r>
                <a:r>
                  <a:rPr lang="de-AT" baseline="0"/>
                  <a:t> - </a:t>
                </a:r>
                <a:r>
                  <a:rPr lang="de-AT"/>
                  <a:t>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010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outflow</a:t>
            </a:r>
            <a:r>
              <a:rPr lang="en-US" baseline="0">
                <a:solidFill>
                  <a:schemeClr val="tx1"/>
                </a:solidFill>
              </a:rPr>
              <a:t> rate; outflow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'Figure 3'!$A$25:$A$31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'Figure 3'!$B$25:$B$31</c:f>
              <c:numCache>
                <c:formatCode>General</c:formatCode>
                <c:ptCount val="7"/>
                <c:pt idx="0">
                  <c:v>0</c:v>
                </c:pt>
                <c:pt idx="1">
                  <c:v>6.666666666666667</c:v>
                </c:pt>
                <c:pt idx="2">
                  <c:v>20</c:v>
                </c:pt>
                <c:pt idx="3">
                  <c:v>33.333333333333329</c:v>
                </c:pt>
                <c:pt idx="4">
                  <c:v>30</c:v>
                </c:pt>
                <c:pt idx="5">
                  <c:v>10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C-4F58-A2FC-02411A2D4D46}"/>
            </c:ext>
          </c:extLst>
        </c:ser>
        <c:ser>
          <c:idx val="1"/>
          <c:order val="1"/>
          <c:tx>
            <c:v>h_disc.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'Figure 3'!$D$25:$D$41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3</c:v>
                </c:pt>
                <c:pt idx="10">
                  <c:v>4</c:v>
                </c:pt>
                <c:pt idx="12">
                  <c:v>4</c:v>
                </c:pt>
                <c:pt idx="13">
                  <c:v>5</c:v>
                </c:pt>
                <c:pt idx="15">
                  <c:v>5</c:v>
                </c:pt>
                <c:pt idx="16">
                  <c:v>6</c:v>
                </c:pt>
              </c:numCache>
            </c:numRef>
          </c:xVal>
          <c:yVal>
            <c:numRef>
              <c:f>'Figure 3'!$E$25:$E$41</c:f>
              <c:numCache>
                <c:formatCode>General</c:formatCode>
                <c:ptCount val="17"/>
                <c:pt idx="0">
                  <c:v>3.3333333333333335</c:v>
                </c:pt>
                <c:pt idx="1">
                  <c:v>3.3333333333333335</c:v>
                </c:pt>
                <c:pt idx="3">
                  <c:v>13.333333333333334</c:v>
                </c:pt>
                <c:pt idx="4">
                  <c:v>13.333333333333334</c:v>
                </c:pt>
                <c:pt idx="6">
                  <c:v>26.666666666666664</c:v>
                </c:pt>
                <c:pt idx="7">
                  <c:v>26.666666666666664</c:v>
                </c:pt>
                <c:pt idx="9">
                  <c:v>31.666666666666664</c:v>
                </c:pt>
                <c:pt idx="10">
                  <c:v>31.666666666666664</c:v>
                </c:pt>
                <c:pt idx="12">
                  <c:v>20</c:v>
                </c:pt>
                <c:pt idx="13">
                  <c:v>20</c:v>
                </c:pt>
                <c:pt idx="15">
                  <c:v>5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BC-4F58-A2FC-02411A2D4D46}"/>
            </c:ext>
          </c:extLst>
        </c:ser>
        <c:ser>
          <c:idx val="2"/>
          <c:order val="2"/>
          <c:tx>
            <c:v>Hilfslinien</c:v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'Figure 3'!$G$25:$G$44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3</c:v>
                </c:pt>
                <c:pt idx="10">
                  <c:v>3</c:v>
                </c:pt>
                <c:pt idx="12">
                  <c:v>4</c:v>
                </c:pt>
                <c:pt idx="13">
                  <c:v>4</c:v>
                </c:pt>
                <c:pt idx="15">
                  <c:v>5</c:v>
                </c:pt>
                <c:pt idx="16">
                  <c:v>5</c:v>
                </c:pt>
                <c:pt idx="18">
                  <c:v>6</c:v>
                </c:pt>
                <c:pt idx="19">
                  <c:v>6</c:v>
                </c:pt>
              </c:numCache>
            </c:numRef>
          </c:xVal>
          <c:yVal>
            <c:numRef>
              <c:f>'Figure 3'!$H$25:$H$44</c:f>
              <c:numCache>
                <c:formatCode>General</c:formatCode>
                <c:ptCount val="20"/>
                <c:pt idx="0">
                  <c:v>0</c:v>
                </c:pt>
                <c:pt idx="1">
                  <c:v>3.3333333333333335</c:v>
                </c:pt>
                <c:pt idx="3">
                  <c:v>0</c:v>
                </c:pt>
                <c:pt idx="4">
                  <c:v>13.333333333333334</c:v>
                </c:pt>
                <c:pt idx="6">
                  <c:v>0</c:v>
                </c:pt>
                <c:pt idx="7">
                  <c:v>26.666666666666664</c:v>
                </c:pt>
                <c:pt idx="9">
                  <c:v>0</c:v>
                </c:pt>
                <c:pt idx="10">
                  <c:v>31.666666666666664</c:v>
                </c:pt>
                <c:pt idx="12">
                  <c:v>0</c:v>
                </c:pt>
                <c:pt idx="13">
                  <c:v>31.666666666666664</c:v>
                </c:pt>
                <c:pt idx="15">
                  <c:v>0</c:v>
                </c:pt>
                <c:pt idx="16">
                  <c:v>20</c:v>
                </c:pt>
                <c:pt idx="18">
                  <c:v>0</c:v>
                </c:pt>
                <c:pt idx="1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BC-4F58-A2FC-02411A2D4D46}"/>
            </c:ext>
          </c:extLst>
        </c:ser>
        <c:ser>
          <c:idx val="3"/>
          <c:order val="3"/>
          <c:tx>
            <c:v>h_cont.</c:v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'Figure 3'!$K$25:$K$85</c:f>
              <c:numCache>
                <c:formatCode>General</c:formatCode>
                <c:ptCount val="6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</c:numCache>
            </c:numRef>
          </c:xVal>
          <c:yVal>
            <c:numRef>
              <c:f>'Figure 3'!$O$25:$O$85</c:f>
              <c:numCache>
                <c:formatCode>General</c:formatCode>
                <c:ptCount val="61"/>
                <c:pt idx="0">
                  <c:v>0</c:v>
                </c:pt>
                <c:pt idx="1">
                  <c:v>6.666666666666668E-2</c:v>
                </c:pt>
                <c:pt idx="2">
                  <c:v>0.26666666666666672</c:v>
                </c:pt>
                <c:pt idx="3">
                  <c:v>0.6</c:v>
                </c:pt>
                <c:pt idx="4">
                  <c:v>1.0666666666666669</c:v>
                </c:pt>
                <c:pt idx="5">
                  <c:v>1.6666666666666667</c:v>
                </c:pt>
                <c:pt idx="6">
                  <c:v>2.4</c:v>
                </c:pt>
                <c:pt idx="7">
                  <c:v>3.2666666666666666</c:v>
                </c:pt>
                <c:pt idx="8">
                  <c:v>4.2666666666666675</c:v>
                </c:pt>
                <c:pt idx="9">
                  <c:v>5.4</c:v>
                </c:pt>
                <c:pt idx="10">
                  <c:v>6.666666666666667</c:v>
                </c:pt>
                <c:pt idx="11">
                  <c:v>8.0000000000000018</c:v>
                </c:pt>
                <c:pt idx="12">
                  <c:v>9.3333333333333321</c:v>
                </c:pt>
                <c:pt idx="13">
                  <c:v>10.66666666666667</c:v>
                </c:pt>
                <c:pt idx="14">
                  <c:v>12</c:v>
                </c:pt>
                <c:pt idx="15">
                  <c:v>13.333333333333334</c:v>
                </c:pt>
                <c:pt idx="16">
                  <c:v>14.66666666666667</c:v>
                </c:pt>
                <c:pt idx="17">
                  <c:v>16</c:v>
                </c:pt>
                <c:pt idx="18">
                  <c:v>17.333333333333336</c:v>
                </c:pt>
                <c:pt idx="19">
                  <c:v>18.666666666666664</c:v>
                </c:pt>
                <c:pt idx="20">
                  <c:v>20</c:v>
                </c:pt>
                <c:pt idx="21">
                  <c:v>21.333333333333336</c:v>
                </c:pt>
                <c:pt idx="22">
                  <c:v>22.666666666666671</c:v>
                </c:pt>
                <c:pt idx="23">
                  <c:v>23.999999999999989</c:v>
                </c:pt>
                <c:pt idx="24">
                  <c:v>25.333333333333332</c:v>
                </c:pt>
                <c:pt idx="25">
                  <c:v>26.666666666666671</c:v>
                </c:pt>
                <c:pt idx="26">
                  <c:v>28.000000000000007</c:v>
                </c:pt>
                <c:pt idx="27">
                  <c:v>29.33333333333335</c:v>
                </c:pt>
                <c:pt idx="28">
                  <c:v>30.666666666666664</c:v>
                </c:pt>
                <c:pt idx="29">
                  <c:v>32</c:v>
                </c:pt>
                <c:pt idx="30">
                  <c:v>33.333333333333329</c:v>
                </c:pt>
                <c:pt idx="31">
                  <c:v>34.499999999999993</c:v>
                </c:pt>
                <c:pt idx="32">
                  <c:v>35.333333333333321</c:v>
                </c:pt>
                <c:pt idx="33">
                  <c:v>35.833333333333336</c:v>
                </c:pt>
                <c:pt idx="34">
                  <c:v>36.000000000000007</c:v>
                </c:pt>
                <c:pt idx="35">
                  <c:v>35.833333333333329</c:v>
                </c:pt>
                <c:pt idx="36">
                  <c:v>35.333333333333329</c:v>
                </c:pt>
                <c:pt idx="37">
                  <c:v>34.499999999999979</c:v>
                </c:pt>
                <c:pt idx="38">
                  <c:v>33.333333333333329</c:v>
                </c:pt>
                <c:pt idx="39">
                  <c:v>31.833333333333343</c:v>
                </c:pt>
                <c:pt idx="40">
                  <c:v>30</c:v>
                </c:pt>
                <c:pt idx="41">
                  <c:v>27.999999999999993</c:v>
                </c:pt>
                <c:pt idx="42">
                  <c:v>26</c:v>
                </c:pt>
                <c:pt idx="43">
                  <c:v>24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12</c:v>
                </c:pt>
                <c:pt idx="50">
                  <c:v>10</c:v>
                </c:pt>
                <c:pt idx="51">
                  <c:v>8.1000000000000085</c:v>
                </c:pt>
                <c:pt idx="52">
                  <c:v>6.4000000000000057</c:v>
                </c:pt>
                <c:pt idx="53">
                  <c:v>4.9000000000000057</c:v>
                </c:pt>
                <c:pt idx="54">
                  <c:v>3.5999999999999943</c:v>
                </c:pt>
                <c:pt idx="55">
                  <c:v>2.5</c:v>
                </c:pt>
                <c:pt idx="56">
                  <c:v>1.5999999999999943</c:v>
                </c:pt>
                <c:pt idx="57">
                  <c:v>0.90000000000000568</c:v>
                </c:pt>
                <c:pt idx="58">
                  <c:v>0.40000000000000568</c:v>
                </c:pt>
                <c:pt idx="59">
                  <c:v>9.9999999999994316E-2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BC-4F58-A2FC-02411A2D4D46}"/>
            </c:ext>
          </c:extLst>
        </c:ser>
        <c:ser>
          <c:idx val="4"/>
          <c:order val="4"/>
          <c:tx>
            <c:v>Hilfsliniien2</c:v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'Figure 3'!$U$25:$U$41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3</c:v>
                </c:pt>
                <c:pt idx="10">
                  <c:v>4</c:v>
                </c:pt>
                <c:pt idx="12">
                  <c:v>4</c:v>
                </c:pt>
                <c:pt idx="13">
                  <c:v>5</c:v>
                </c:pt>
                <c:pt idx="15">
                  <c:v>5</c:v>
                </c:pt>
                <c:pt idx="16">
                  <c:v>6</c:v>
                </c:pt>
              </c:numCache>
            </c:numRef>
          </c:xVal>
          <c:yVal>
            <c:numRef>
              <c:f>'Figure 3'!$V$25:$V$41</c:f>
              <c:numCache>
                <c:formatCode>General</c:formatCode>
                <c:ptCount val="17"/>
                <c:pt idx="0">
                  <c:v>2.2333333333333334</c:v>
                </c:pt>
                <c:pt idx="1">
                  <c:v>2.2333333333333334</c:v>
                </c:pt>
                <c:pt idx="3">
                  <c:v>13.333333333333336</c:v>
                </c:pt>
                <c:pt idx="4">
                  <c:v>13.333333333333336</c:v>
                </c:pt>
                <c:pt idx="6">
                  <c:v>26.666666666666664</c:v>
                </c:pt>
                <c:pt idx="7">
                  <c:v>26.666666666666664</c:v>
                </c:pt>
                <c:pt idx="9">
                  <c:v>34.416666666666671</c:v>
                </c:pt>
                <c:pt idx="10">
                  <c:v>34.416666666666671</c:v>
                </c:pt>
                <c:pt idx="12">
                  <c:v>20</c:v>
                </c:pt>
                <c:pt idx="13">
                  <c:v>20</c:v>
                </c:pt>
                <c:pt idx="15">
                  <c:v>3.3499999999999801</c:v>
                </c:pt>
                <c:pt idx="16">
                  <c:v>3.3499999999999801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BC-4F58-A2FC-02411A2D4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707791"/>
        <c:axId val="992709455"/>
      </c:scatterChart>
      <c:valAx>
        <c:axId val="992707791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tau</a:t>
                </a:r>
              </a:p>
            </c:rich>
          </c:tx>
          <c:layout>
            <c:manualLayout>
              <c:xMode val="edge"/>
              <c:yMode val="edge"/>
              <c:x val="0.52512993127767427"/>
              <c:y val="0.874040068211473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9455"/>
        <c:crosses val="autoZero"/>
        <c:crossBetween val="midCat"/>
        <c:majorUnit val="1"/>
      </c:valAx>
      <c:valAx>
        <c:axId val="992709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h(tau) = F(tau)</a:t>
                </a:r>
                <a:r>
                  <a:rPr lang="de-AT" baseline="0"/>
                  <a:t> -</a:t>
                </a:r>
                <a:r>
                  <a:rPr lang="de-AT"/>
                  <a:t> F(tau-1), 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7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lifetime distribution, CDF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F(tau)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'Figure 3'!$G$3:$G$9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'Figure 3'!$H$3:$H$9</c:f>
              <c:numCache>
                <c:formatCode>General</c:formatCode>
                <c:ptCount val="7"/>
                <c:pt idx="0">
                  <c:v>0</c:v>
                </c:pt>
                <c:pt idx="1">
                  <c:v>6.666666666666667</c:v>
                </c:pt>
                <c:pt idx="2">
                  <c:v>26.666666666666668</c:v>
                </c:pt>
                <c:pt idx="3">
                  <c:v>60</c:v>
                </c:pt>
                <c:pt idx="4">
                  <c:v>90</c:v>
                </c:pt>
                <c:pt idx="5">
                  <c:v>100</c:v>
                </c:pt>
                <c:pt idx="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E-4050-8540-A292176C8DA1}"/>
            </c:ext>
          </c:extLst>
        </c:ser>
        <c:ser>
          <c:idx val="0"/>
          <c:order val="1"/>
          <c:tx>
            <c:v>F(tau-1)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'Figure 3'!$G$3:$G$9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  <c:extLst xmlns:c15="http://schemas.microsoft.com/office/drawing/2012/chart"/>
            </c:numRef>
          </c:xVal>
          <c:yVal>
            <c:numRef>
              <c:f>'Figure 3'!$I$3:$I$9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6.666666666666667</c:v>
                </c:pt>
                <c:pt idx="3">
                  <c:v>26.666666666666668</c:v>
                </c:pt>
                <c:pt idx="4">
                  <c:v>60</c:v>
                </c:pt>
                <c:pt idx="5">
                  <c:v>90</c:v>
                </c:pt>
                <c:pt idx="6">
                  <c:v>100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BE-4050-8540-A292176C8DA1}"/>
            </c:ext>
          </c:extLst>
        </c:ser>
        <c:ser>
          <c:idx val="1"/>
          <c:order val="2"/>
          <c:tx>
            <c:v>F_cont(tau)</c:v>
          </c:tx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'Figure 3'!$K$25:$K$85</c:f>
              <c:numCache>
                <c:formatCode>General</c:formatCode>
                <c:ptCount val="6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</c:numCache>
            </c:numRef>
          </c:xVal>
          <c:yVal>
            <c:numRef>
              <c:f>'Figure 3'!$M$25:$M$85</c:f>
              <c:numCache>
                <c:formatCode>General</c:formatCode>
                <c:ptCount val="61"/>
                <c:pt idx="0">
                  <c:v>0</c:v>
                </c:pt>
                <c:pt idx="1">
                  <c:v>6.666666666666668E-2</c:v>
                </c:pt>
                <c:pt idx="2">
                  <c:v>0.26666666666666672</c:v>
                </c:pt>
                <c:pt idx="3">
                  <c:v>0.6</c:v>
                </c:pt>
                <c:pt idx="4">
                  <c:v>1.0666666666666669</c:v>
                </c:pt>
                <c:pt idx="5">
                  <c:v>1.6666666666666667</c:v>
                </c:pt>
                <c:pt idx="6">
                  <c:v>2.4</c:v>
                </c:pt>
                <c:pt idx="7">
                  <c:v>3.2666666666666666</c:v>
                </c:pt>
                <c:pt idx="8">
                  <c:v>4.2666666666666675</c:v>
                </c:pt>
                <c:pt idx="9">
                  <c:v>5.4</c:v>
                </c:pt>
                <c:pt idx="10">
                  <c:v>6.666666666666667</c:v>
                </c:pt>
                <c:pt idx="11">
                  <c:v>8.0666666666666682</c:v>
                </c:pt>
                <c:pt idx="12">
                  <c:v>9.6</c:v>
                </c:pt>
                <c:pt idx="13">
                  <c:v>11.266666666666669</c:v>
                </c:pt>
                <c:pt idx="14">
                  <c:v>13.066666666666666</c:v>
                </c:pt>
                <c:pt idx="15">
                  <c:v>15</c:v>
                </c:pt>
                <c:pt idx="16">
                  <c:v>17.06666666666667</c:v>
                </c:pt>
                <c:pt idx="17">
                  <c:v>19.266666666666666</c:v>
                </c:pt>
                <c:pt idx="18">
                  <c:v>21.6</c:v>
                </c:pt>
                <c:pt idx="19">
                  <c:v>24.066666666666663</c:v>
                </c:pt>
                <c:pt idx="20">
                  <c:v>26.666666666666668</c:v>
                </c:pt>
                <c:pt idx="21">
                  <c:v>29.400000000000006</c:v>
                </c:pt>
                <c:pt idx="22">
                  <c:v>32.266666666666673</c:v>
                </c:pt>
                <c:pt idx="23">
                  <c:v>35.266666666666659</c:v>
                </c:pt>
                <c:pt idx="24">
                  <c:v>38.4</c:v>
                </c:pt>
                <c:pt idx="25">
                  <c:v>41.666666666666671</c:v>
                </c:pt>
                <c:pt idx="26">
                  <c:v>45.066666666666677</c:v>
                </c:pt>
                <c:pt idx="27">
                  <c:v>48.600000000000016</c:v>
                </c:pt>
                <c:pt idx="28">
                  <c:v>52.266666666666666</c:v>
                </c:pt>
                <c:pt idx="29">
                  <c:v>56.066666666666663</c:v>
                </c:pt>
                <c:pt idx="30">
                  <c:v>60</c:v>
                </c:pt>
                <c:pt idx="31">
                  <c:v>63.9</c:v>
                </c:pt>
                <c:pt idx="32">
                  <c:v>67.599999999999994</c:v>
                </c:pt>
                <c:pt idx="33">
                  <c:v>71.099999999999994</c:v>
                </c:pt>
                <c:pt idx="34">
                  <c:v>74.400000000000006</c:v>
                </c:pt>
                <c:pt idx="35">
                  <c:v>77.5</c:v>
                </c:pt>
                <c:pt idx="36">
                  <c:v>80.400000000000006</c:v>
                </c:pt>
                <c:pt idx="37">
                  <c:v>83.1</c:v>
                </c:pt>
                <c:pt idx="38">
                  <c:v>85.6</c:v>
                </c:pt>
                <c:pt idx="39">
                  <c:v>87.9</c:v>
                </c:pt>
                <c:pt idx="40">
                  <c:v>90</c:v>
                </c:pt>
                <c:pt idx="41">
                  <c:v>91.899999999999991</c:v>
                </c:pt>
                <c:pt idx="42">
                  <c:v>93.6</c:v>
                </c:pt>
                <c:pt idx="43">
                  <c:v>95.1</c:v>
                </c:pt>
                <c:pt idx="44">
                  <c:v>96.4</c:v>
                </c:pt>
                <c:pt idx="45">
                  <c:v>97.5</c:v>
                </c:pt>
                <c:pt idx="46">
                  <c:v>98.4</c:v>
                </c:pt>
                <c:pt idx="47">
                  <c:v>99.1</c:v>
                </c:pt>
                <c:pt idx="48">
                  <c:v>99.6</c:v>
                </c:pt>
                <c:pt idx="49">
                  <c:v>99.9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BE-4050-8540-A292176C8DA1}"/>
            </c:ext>
          </c:extLst>
        </c:ser>
        <c:ser>
          <c:idx val="3"/>
          <c:order val="3"/>
          <c:tx>
            <c:v>F_cont(tau-1)</c:v>
          </c:tx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'Figure 3'!$K$25:$K$85</c:f>
              <c:numCache>
                <c:formatCode>General</c:formatCode>
                <c:ptCount val="6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</c:numCache>
              <c:extLst xmlns:c15="http://schemas.microsoft.com/office/drawing/2012/chart"/>
            </c:numRef>
          </c:xVal>
          <c:yVal>
            <c:numRef>
              <c:f>'Figure 3'!$N$25:$N$85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6.666666666666668E-2</c:v>
                </c:pt>
                <c:pt idx="12">
                  <c:v>0.26666666666666672</c:v>
                </c:pt>
                <c:pt idx="13">
                  <c:v>0.6</c:v>
                </c:pt>
                <c:pt idx="14">
                  <c:v>1.0666666666666669</c:v>
                </c:pt>
                <c:pt idx="15">
                  <c:v>1.6666666666666667</c:v>
                </c:pt>
                <c:pt idx="16">
                  <c:v>2.4</c:v>
                </c:pt>
                <c:pt idx="17">
                  <c:v>3.2666666666666666</c:v>
                </c:pt>
                <c:pt idx="18">
                  <c:v>4.2666666666666675</c:v>
                </c:pt>
                <c:pt idx="19">
                  <c:v>5.4</c:v>
                </c:pt>
                <c:pt idx="20">
                  <c:v>6.666666666666667</c:v>
                </c:pt>
                <c:pt idx="21">
                  <c:v>8.0666666666666682</c:v>
                </c:pt>
                <c:pt idx="22">
                  <c:v>9.6</c:v>
                </c:pt>
                <c:pt idx="23">
                  <c:v>11.266666666666669</c:v>
                </c:pt>
                <c:pt idx="24">
                  <c:v>13.066666666666666</c:v>
                </c:pt>
                <c:pt idx="25">
                  <c:v>15</c:v>
                </c:pt>
                <c:pt idx="26">
                  <c:v>17.06666666666667</c:v>
                </c:pt>
                <c:pt idx="27">
                  <c:v>19.266666666666666</c:v>
                </c:pt>
                <c:pt idx="28">
                  <c:v>21.6</c:v>
                </c:pt>
                <c:pt idx="29">
                  <c:v>24.066666666666663</c:v>
                </c:pt>
                <c:pt idx="30">
                  <c:v>26.666666666666668</c:v>
                </c:pt>
                <c:pt idx="31">
                  <c:v>29.400000000000006</c:v>
                </c:pt>
                <c:pt idx="32">
                  <c:v>32.266666666666673</c:v>
                </c:pt>
                <c:pt idx="33">
                  <c:v>35.266666666666659</c:v>
                </c:pt>
                <c:pt idx="34">
                  <c:v>38.4</c:v>
                </c:pt>
                <c:pt idx="35">
                  <c:v>41.666666666666671</c:v>
                </c:pt>
                <c:pt idx="36">
                  <c:v>45.066666666666677</c:v>
                </c:pt>
                <c:pt idx="37">
                  <c:v>48.600000000000016</c:v>
                </c:pt>
                <c:pt idx="38">
                  <c:v>52.266666666666666</c:v>
                </c:pt>
                <c:pt idx="39">
                  <c:v>56.066666666666663</c:v>
                </c:pt>
                <c:pt idx="40">
                  <c:v>60</c:v>
                </c:pt>
                <c:pt idx="41">
                  <c:v>63.9</c:v>
                </c:pt>
                <c:pt idx="42">
                  <c:v>67.599999999999994</c:v>
                </c:pt>
                <c:pt idx="43">
                  <c:v>71.099999999999994</c:v>
                </c:pt>
                <c:pt idx="44">
                  <c:v>74.400000000000006</c:v>
                </c:pt>
                <c:pt idx="45">
                  <c:v>77.5</c:v>
                </c:pt>
                <c:pt idx="46">
                  <c:v>80.400000000000006</c:v>
                </c:pt>
                <c:pt idx="47">
                  <c:v>83.1</c:v>
                </c:pt>
                <c:pt idx="48">
                  <c:v>85.6</c:v>
                </c:pt>
                <c:pt idx="49">
                  <c:v>87.9</c:v>
                </c:pt>
                <c:pt idx="50">
                  <c:v>90</c:v>
                </c:pt>
                <c:pt idx="51">
                  <c:v>91.899999999999991</c:v>
                </c:pt>
                <c:pt idx="52">
                  <c:v>93.6</c:v>
                </c:pt>
                <c:pt idx="53">
                  <c:v>95.1</c:v>
                </c:pt>
                <c:pt idx="54">
                  <c:v>96.4</c:v>
                </c:pt>
                <c:pt idx="55">
                  <c:v>97.5</c:v>
                </c:pt>
                <c:pt idx="56">
                  <c:v>98.4</c:v>
                </c:pt>
                <c:pt idx="57">
                  <c:v>99.1</c:v>
                </c:pt>
                <c:pt idx="58">
                  <c:v>99.6</c:v>
                </c:pt>
                <c:pt idx="59">
                  <c:v>99.9</c:v>
                </c:pt>
                <c:pt idx="60">
                  <c:v>100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BE-4050-8540-A292176C8DA1}"/>
            </c:ext>
          </c:extLst>
        </c:ser>
        <c:ser>
          <c:idx val="4"/>
          <c:order val="4"/>
          <c:tx>
            <c:v>Vert.HL</c:v>
          </c:tx>
          <c:spPr>
            <a:ln w="3175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'Figure 3'!$R$25:$R$38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</c:numCache>
            </c:numRef>
          </c:xVal>
          <c:yVal>
            <c:numRef>
              <c:f>'Figure 3'!$S$25:$S$38</c:f>
              <c:numCache>
                <c:formatCode>General</c:formatCode>
                <c:ptCount val="14"/>
                <c:pt idx="0">
                  <c:v>0</c:v>
                </c:pt>
                <c:pt idx="1">
                  <c:v>6.666666666666667</c:v>
                </c:pt>
                <c:pt idx="3">
                  <c:v>6.666666666666667</c:v>
                </c:pt>
                <c:pt idx="4">
                  <c:v>26.666666666666668</c:v>
                </c:pt>
                <c:pt idx="6">
                  <c:v>26.666666666666668</c:v>
                </c:pt>
                <c:pt idx="7">
                  <c:v>60</c:v>
                </c:pt>
                <c:pt idx="9">
                  <c:v>60</c:v>
                </c:pt>
                <c:pt idx="10">
                  <c:v>90</c:v>
                </c:pt>
                <c:pt idx="12">
                  <c:v>90</c:v>
                </c:pt>
                <c:pt idx="13">
                  <c:v>100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E3F-4519-B094-F12E37936D10}"/>
            </c:ext>
          </c:extLst>
        </c:ser>
        <c:ser>
          <c:idx val="5"/>
          <c:order val="5"/>
          <c:tx>
            <c:v>Hor.HL</c:v>
          </c:tx>
          <c:spPr>
            <a:ln w="6350">
              <a:solidFill>
                <a:schemeClr val="bg1">
                  <a:lumMod val="6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'Figure 3'!$R$42:$R$52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3">
                  <c:v>2</c:v>
                </c:pt>
                <c:pt idx="4">
                  <c:v>3</c:v>
                </c:pt>
                <c:pt idx="6">
                  <c:v>3</c:v>
                </c:pt>
                <c:pt idx="7">
                  <c:v>4</c:v>
                </c:pt>
                <c:pt idx="9">
                  <c:v>4</c:v>
                </c:pt>
                <c:pt idx="10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'Figure 3'!$S$42:$S$52</c:f>
              <c:numCache>
                <c:formatCode>General</c:formatCode>
                <c:ptCount val="11"/>
                <c:pt idx="0">
                  <c:v>6.666666666666667</c:v>
                </c:pt>
                <c:pt idx="1">
                  <c:v>6.666666666666667</c:v>
                </c:pt>
                <c:pt idx="3">
                  <c:v>26.666666666666668</c:v>
                </c:pt>
                <c:pt idx="4">
                  <c:v>26.666666666666668</c:v>
                </c:pt>
                <c:pt idx="6">
                  <c:v>60</c:v>
                </c:pt>
                <c:pt idx="7">
                  <c:v>60</c:v>
                </c:pt>
                <c:pt idx="9">
                  <c:v>90</c:v>
                </c:pt>
                <c:pt idx="10">
                  <c:v>90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E3F-4519-B094-F12E37936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707791"/>
        <c:axId val="992709455"/>
        <c:extLst/>
      </c:scatterChart>
      <c:valAx>
        <c:axId val="992707791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tau</a:t>
                </a:r>
              </a:p>
            </c:rich>
          </c:tx>
          <c:layout>
            <c:manualLayout>
              <c:xMode val="edge"/>
              <c:yMode val="edge"/>
              <c:x val="0.53191534264323825"/>
              <c:y val="0.874040068211473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9455"/>
        <c:crosses val="autoZero"/>
        <c:crossBetween val="midCat"/>
        <c:majorUnit val="1"/>
      </c:valAx>
      <c:valAx>
        <c:axId val="992709455"/>
        <c:scaling>
          <c:orientation val="minMax"/>
          <c:max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F(tau), F(tau-1), 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7791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lifetime distribution, PDF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'Figure 3'!$B$2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'Figure 3'!$A$3:$A$21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3">
                  <c:v>1</c:v>
                </c:pt>
                <c:pt idx="4">
                  <c:v>2</c:v>
                </c:pt>
                <c:pt idx="6">
                  <c:v>2</c:v>
                </c:pt>
                <c:pt idx="7">
                  <c:v>3</c:v>
                </c:pt>
                <c:pt idx="9">
                  <c:v>3</c:v>
                </c:pt>
                <c:pt idx="10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xVal>
          <c:yVal>
            <c:numRef>
              <c:f>'Figure 3'!$B$3:$B$21</c:f>
              <c:numCache>
                <c:formatCode>General</c:formatCode>
                <c:ptCount val="19"/>
                <c:pt idx="0">
                  <c:v>6.666666666666667</c:v>
                </c:pt>
                <c:pt idx="1">
                  <c:v>6.666666666666667</c:v>
                </c:pt>
                <c:pt idx="3">
                  <c:v>20</c:v>
                </c:pt>
                <c:pt idx="4">
                  <c:v>20</c:v>
                </c:pt>
                <c:pt idx="6">
                  <c:v>33.333333333333336</c:v>
                </c:pt>
                <c:pt idx="7">
                  <c:v>33.333333333333336</c:v>
                </c:pt>
                <c:pt idx="9">
                  <c:v>30</c:v>
                </c:pt>
                <c:pt idx="10">
                  <c:v>30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5-A8D3-1430538DDE69}"/>
            </c:ext>
          </c:extLst>
        </c:ser>
        <c:ser>
          <c:idx val="3"/>
          <c:order val="1"/>
          <c:tx>
            <c:v>Hilfslinien</c:v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'Figure 3'!$D$3:$D$19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3</c:v>
                </c:pt>
                <c:pt idx="10">
                  <c:v>3</c:v>
                </c:pt>
                <c:pt idx="12">
                  <c:v>4</c:v>
                </c:pt>
                <c:pt idx="13">
                  <c:v>4</c:v>
                </c:pt>
                <c:pt idx="15">
                  <c:v>5</c:v>
                </c:pt>
                <c:pt idx="16">
                  <c:v>5</c:v>
                </c:pt>
              </c:numCache>
            </c:numRef>
          </c:xVal>
          <c:yVal>
            <c:numRef>
              <c:f>'Figure 3'!$E$3:$E$19</c:f>
              <c:numCache>
                <c:formatCode>General</c:formatCode>
                <c:ptCount val="17"/>
                <c:pt idx="0">
                  <c:v>0</c:v>
                </c:pt>
                <c:pt idx="1">
                  <c:v>6.666666666666667</c:v>
                </c:pt>
                <c:pt idx="3">
                  <c:v>0</c:v>
                </c:pt>
                <c:pt idx="4">
                  <c:v>20</c:v>
                </c:pt>
                <c:pt idx="6">
                  <c:v>0</c:v>
                </c:pt>
                <c:pt idx="7">
                  <c:v>33.333333333333336</c:v>
                </c:pt>
                <c:pt idx="9">
                  <c:v>0</c:v>
                </c:pt>
                <c:pt idx="10">
                  <c:v>33.333333333333336</c:v>
                </c:pt>
                <c:pt idx="12">
                  <c:v>0</c:v>
                </c:pt>
                <c:pt idx="13">
                  <c:v>30</c:v>
                </c:pt>
                <c:pt idx="15">
                  <c:v>0</c:v>
                </c:pt>
                <c:pt idx="16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63-43D5-A8D3-1430538DDE69}"/>
            </c:ext>
          </c:extLst>
        </c:ser>
        <c:ser>
          <c:idx val="0"/>
          <c:order val="2"/>
          <c:tx>
            <c:v>f_cont</c:v>
          </c:tx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'Figure 3'!$K$25:$K$85</c:f>
              <c:numCache>
                <c:formatCode>General</c:formatCode>
                <c:ptCount val="6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</c:numCache>
            </c:numRef>
          </c:xVal>
          <c:yVal>
            <c:numRef>
              <c:f>'Figure 3'!$L$25:$L$85</c:f>
              <c:numCache>
                <c:formatCode>General</c:formatCode>
                <c:ptCount val="61"/>
                <c:pt idx="0">
                  <c:v>0</c:v>
                </c:pt>
                <c:pt idx="1">
                  <c:v>1.3333333333333335</c:v>
                </c:pt>
                <c:pt idx="2">
                  <c:v>2.666666666666667</c:v>
                </c:pt>
                <c:pt idx="3">
                  <c:v>4</c:v>
                </c:pt>
                <c:pt idx="4">
                  <c:v>5.3333333333333339</c:v>
                </c:pt>
                <c:pt idx="5">
                  <c:v>6.666666666666667</c:v>
                </c:pt>
                <c:pt idx="6">
                  <c:v>8</c:v>
                </c:pt>
                <c:pt idx="7">
                  <c:v>9.3333333333333339</c:v>
                </c:pt>
                <c:pt idx="8">
                  <c:v>10.666666666666668</c:v>
                </c:pt>
                <c:pt idx="9">
                  <c:v>12</c:v>
                </c:pt>
                <c:pt idx="10">
                  <c:v>13.333333333333334</c:v>
                </c:pt>
                <c:pt idx="11">
                  <c:v>14.666666666666668</c:v>
                </c:pt>
                <c:pt idx="12">
                  <c:v>16</c:v>
                </c:pt>
                <c:pt idx="13">
                  <c:v>17.333333333333336</c:v>
                </c:pt>
                <c:pt idx="14">
                  <c:v>18.666666666666668</c:v>
                </c:pt>
                <c:pt idx="15">
                  <c:v>20</c:v>
                </c:pt>
                <c:pt idx="16">
                  <c:v>21.333333333333336</c:v>
                </c:pt>
                <c:pt idx="17">
                  <c:v>22.666666666666668</c:v>
                </c:pt>
                <c:pt idx="18">
                  <c:v>24</c:v>
                </c:pt>
                <c:pt idx="19">
                  <c:v>25.333333333333332</c:v>
                </c:pt>
                <c:pt idx="20">
                  <c:v>26.666666666666668</c:v>
                </c:pt>
                <c:pt idx="21">
                  <c:v>28.000000000000004</c:v>
                </c:pt>
                <c:pt idx="22">
                  <c:v>29.333333333333336</c:v>
                </c:pt>
                <c:pt idx="23">
                  <c:v>30.666666666666664</c:v>
                </c:pt>
                <c:pt idx="24">
                  <c:v>32</c:v>
                </c:pt>
                <c:pt idx="25">
                  <c:v>33.333333333333336</c:v>
                </c:pt>
                <c:pt idx="26">
                  <c:v>34.666666666666671</c:v>
                </c:pt>
                <c:pt idx="27">
                  <c:v>36.000000000000007</c:v>
                </c:pt>
                <c:pt idx="28">
                  <c:v>37.333333333333336</c:v>
                </c:pt>
                <c:pt idx="29">
                  <c:v>38.666666666666664</c:v>
                </c:pt>
                <c:pt idx="30">
                  <c:v>40</c:v>
                </c:pt>
                <c:pt idx="31">
                  <c:v>38</c:v>
                </c:pt>
                <c:pt idx="32">
                  <c:v>36</c:v>
                </c:pt>
                <c:pt idx="33">
                  <c:v>34</c:v>
                </c:pt>
                <c:pt idx="34">
                  <c:v>32</c:v>
                </c:pt>
                <c:pt idx="35">
                  <c:v>30</c:v>
                </c:pt>
                <c:pt idx="36">
                  <c:v>28</c:v>
                </c:pt>
                <c:pt idx="37">
                  <c:v>26</c:v>
                </c:pt>
                <c:pt idx="38">
                  <c:v>24</c:v>
                </c:pt>
                <c:pt idx="39">
                  <c:v>22</c:v>
                </c:pt>
                <c:pt idx="40">
                  <c:v>20</c:v>
                </c:pt>
                <c:pt idx="41">
                  <c:v>18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6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63-43D5-A8D3-1430538DD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707791"/>
        <c:axId val="992709455"/>
      </c:scatterChart>
      <c:valAx>
        <c:axId val="992707791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tau</a:t>
                </a:r>
              </a:p>
            </c:rich>
          </c:tx>
          <c:layout>
            <c:manualLayout>
              <c:xMode val="edge"/>
              <c:yMode val="edge"/>
              <c:x val="0.53870075400880235"/>
              <c:y val="0.874040068211473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9455"/>
        <c:crosses val="autoZero"/>
        <c:crossBetween val="midCat"/>
        <c:majorUnit val="1"/>
      </c:valAx>
      <c:valAx>
        <c:axId val="992709455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f(tau), 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2707791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o(𝜏) = l(𝜏) (continuous)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'Figure 4'!$A$49:$A$449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</c:numCache>
            </c:numRef>
          </c:xVal>
          <c:yVal>
            <c:numRef>
              <c:f>'Figure 4'!$B$49:$B$449</c:f>
              <c:numCache>
                <c:formatCode>0.0000</c:formatCode>
                <c:ptCount val="401"/>
                <c:pt idx="0">
                  <c:v>0.2</c:v>
                </c:pt>
                <c:pt idx="1">
                  <c:v>0.19900000000000001</c:v>
                </c:pt>
                <c:pt idx="2">
                  <c:v>0.19800000000000001</c:v>
                </c:pt>
                <c:pt idx="3">
                  <c:v>0.19700000000000001</c:v>
                </c:pt>
                <c:pt idx="4">
                  <c:v>0.19600000000000001</c:v>
                </c:pt>
                <c:pt idx="5">
                  <c:v>0.19500000000000001</c:v>
                </c:pt>
                <c:pt idx="6">
                  <c:v>0.19400000000000001</c:v>
                </c:pt>
                <c:pt idx="7">
                  <c:v>0.193</c:v>
                </c:pt>
                <c:pt idx="8">
                  <c:v>0.192</c:v>
                </c:pt>
                <c:pt idx="9">
                  <c:v>0.191</c:v>
                </c:pt>
                <c:pt idx="10">
                  <c:v>0.19</c:v>
                </c:pt>
                <c:pt idx="11">
                  <c:v>0.189</c:v>
                </c:pt>
                <c:pt idx="12">
                  <c:v>0.188</c:v>
                </c:pt>
                <c:pt idx="13">
                  <c:v>0.187</c:v>
                </c:pt>
                <c:pt idx="14">
                  <c:v>0.186</c:v>
                </c:pt>
                <c:pt idx="15">
                  <c:v>0.185</c:v>
                </c:pt>
                <c:pt idx="16">
                  <c:v>0.184</c:v>
                </c:pt>
                <c:pt idx="17">
                  <c:v>0.183</c:v>
                </c:pt>
                <c:pt idx="18">
                  <c:v>0.182</c:v>
                </c:pt>
                <c:pt idx="19">
                  <c:v>0.18099999999999999</c:v>
                </c:pt>
                <c:pt idx="20">
                  <c:v>0.18</c:v>
                </c:pt>
                <c:pt idx="21">
                  <c:v>0.17899999999999999</c:v>
                </c:pt>
                <c:pt idx="22">
                  <c:v>0.17799999999999999</c:v>
                </c:pt>
                <c:pt idx="23">
                  <c:v>0.17699999999999999</c:v>
                </c:pt>
                <c:pt idx="24">
                  <c:v>0.17599999999999999</c:v>
                </c:pt>
                <c:pt idx="25">
                  <c:v>0.17499999999999999</c:v>
                </c:pt>
                <c:pt idx="26">
                  <c:v>0.17399999999999999</c:v>
                </c:pt>
                <c:pt idx="27">
                  <c:v>0.17299999999999999</c:v>
                </c:pt>
                <c:pt idx="28">
                  <c:v>0.17200000000000001</c:v>
                </c:pt>
                <c:pt idx="29">
                  <c:v>0.17100000000000001</c:v>
                </c:pt>
                <c:pt idx="30">
                  <c:v>0.17</c:v>
                </c:pt>
                <c:pt idx="31">
                  <c:v>0.16900000000000001</c:v>
                </c:pt>
                <c:pt idx="32">
                  <c:v>0.16800000000000001</c:v>
                </c:pt>
                <c:pt idx="33">
                  <c:v>0.16700000000000001</c:v>
                </c:pt>
                <c:pt idx="34">
                  <c:v>0.16600000000000001</c:v>
                </c:pt>
                <c:pt idx="35">
                  <c:v>0.16500000000000001</c:v>
                </c:pt>
                <c:pt idx="36">
                  <c:v>0.16400000000000001</c:v>
                </c:pt>
                <c:pt idx="37">
                  <c:v>0.16300000000000001</c:v>
                </c:pt>
                <c:pt idx="38">
                  <c:v>0.16200000000000001</c:v>
                </c:pt>
                <c:pt idx="39">
                  <c:v>0.161</c:v>
                </c:pt>
                <c:pt idx="40">
                  <c:v>0.16</c:v>
                </c:pt>
                <c:pt idx="41">
                  <c:v>0.159</c:v>
                </c:pt>
                <c:pt idx="42">
                  <c:v>0.158</c:v>
                </c:pt>
                <c:pt idx="43">
                  <c:v>0.157</c:v>
                </c:pt>
                <c:pt idx="44">
                  <c:v>0.156</c:v>
                </c:pt>
                <c:pt idx="45">
                  <c:v>0.155</c:v>
                </c:pt>
                <c:pt idx="46">
                  <c:v>0.154</c:v>
                </c:pt>
                <c:pt idx="47">
                  <c:v>0.153</c:v>
                </c:pt>
                <c:pt idx="48">
                  <c:v>0.152</c:v>
                </c:pt>
                <c:pt idx="49">
                  <c:v>0.151</c:v>
                </c:pt>
                <c:pt idx="50">
                  <c:v>0.15</c:v>
                </c:pt>
                <c:pt idx="51">
                  <c:v>0.14899999999999999</c:v>
                </c:pt>
                <c:pt idx="52">
                  <c:v>0.14799999999999999</c:v>
                </c:pt>
                <c:pt idx="53">
                  <c:v>0.14699999999999999</c:v>
                </c:pt>
                <c:pt idx="54">
                  <c:v>0.14599999999999999</c:v>
                </c:pt>
                <c:pt idx="55">
                  <c:v>0.14499999999999999</c:v>
                </c:pt>
                <c:pt idx="56">
                  <c:v>0.14400000000000002</c:v>
                </c:pt>
                <c:pt idx="57">
                  <c:v>0.14299999999999999</c:v>
                </c:pt>
                <c:pt idx="58">
                  <c:v>0.14200000000000002</c:v>
                </c:pt>
                <c:pt idx="59">
                  <c:v>0.14099999999999999</c:v>
                </c:pt>
                <c:pt idx="60">
                  <c:v>0.14000000000000001</c:v>
                </c:pt>
                <c:pt idx="61">
                  <c:v>0.13900000000000001</c:v>
                </c:pt>
                <c:pt idx="62">
                  <c:v>0.13800000000000001</c:v>
                </c:pt>
                <c:pt idx="63">
                  <c:v>0.13700000000000001</c:v>
                </c:pt>
                <c:pt idx="64">
                  <c:v>0.13600000000000001</c:v>
                </c:pt>
                <c:pt idx="65">
                  <c:v>0.13500000000000001</c:v>
                </c:pt>
                <c:pt idx="66">
                  <c:v>0.13400000000000001</c:v>
                </c:pt>
                <c:pt idx="67">
                  <c:v>0.13300000000000001</c:v>
                </c:pt>
                <c:pt idx="68">
                  <c:v>0.13200000000000001</c:v>
                </c:pt>
                <c:pt idx="69">
                  <c:v>0.13100000000000001</c:v>
                </c:pt>
                <c:pt idx="70">
                  <c:v>0.13</c:v>
                </c:pt>
                <c:pt idx="71">
                  <c:v>0.129</c:v>
                </c:pt>
                <c:pt idx="72">
                  <c:v>0.128</c:v>
                </c:pt>
                <c:pt idx="73">
                  <c:v>0.127</c:v>
                </c:pt>
                <c:pt idx="74">
                  <c:v>0.126</c:v>
                </c:pt>
                <c:pt idx="75">
                  <c:v>0.125</c:v>
                </c:pt>
                <c:pt idx="76">
                  <c:v>0.124</c:v>
                </c:pt>
                <c:pt idx="77">
                  <c:v>0.123</c:v>
                </c:pt>
                <c:pt idx="78">
                  <c:v>0.122</c:v>
                </c:pt>
                <c:pt idx="79">
                  <c:v>0.121</c:v>
                </c:pt>
                <c:pt idx="80">
                  <c:v>0.12</c:v>
                </c:pt>
                <c:pt idx="81">
                  <c:v>0.11900000000000001</c:v>
                </c:pt>
                <c:pt idx="82">
                  <c:v>0.11800000000000001</c:v>
                </c:pt>
                <c:pt idx="83">
                  <c:v>0.11699999999999999</c:v>
                </c:pt>
                <c:pt idx="84">
                  <c:v>0.11599999999999999</c:v>
                </c:pt>
                <c:pt idx="85">
                  <c:v>0.115</c:v>
                </c:pt>
                <c:pt idx="86">
                  <c:v>0.114</c:v>
                </c:pt>
                <c:pt idx="87">
                  <c:v>0.113</c:v>
                </c:pt>
                <c:pt idx="88">
                  <c:v>0.11199999999999999</c:v>
                </c:pt>
                <c:pt idx="89">
                  <c:v>0.111</c:v>
                </c:pt>
                <c:pt idx="90">
                  <c:v>0.11</c:v>
                </c:pt>
                <c:pt idx="91">
                  <c:v>0.109</c:v>
                </c:pt>
                <c:pt idx="92">
                  <c:v>0.10800000000000001</c:v>
                </c:pt>
                <c:pt idx="93">
                  <c:v>0.107</c:v>
                </c:pt>
                <c:pt idx="94">
                  <c:v>0.106</c:v>
                </c:pt>
                <c:pt idx="95">
                  <c:v>0.105</c:v>
                </c:pt>
                <c:pt idx="96">
                  <c:v>0.10400000000000001</c:v>
                </c:pt>
                <c:pt idx="97">
                  <c:v>0.10300000000000001</c:v>
                </c:pt>
                <c:pt idx="98">
                  <c:v>0.10199999999999999</c:v>
                </c:pt>
                <c:pt idx="99">
                  <c:v>0.10099999999999999</c:v>
                </c:pt>
                <c:pt idx="100">
                  <c:v>0.1</c:v>
                </c:pt>
                <c:pt idx="101">
                  <c:v>9.9000000000000005E-2</c:v>
                </c:pt>
                <c:pt idx="102">
                  <c:v>9.8000000000000004E-2</c:v>
                </c:pt>
                <c:pt idx="103">
                  <c:v>9.6999999999999989E-2</c:v>
                </c:pt>
                <c:pt idx="104">
                  <c:v>9.6000000000000002E-2</c:v>
                </c:pt>
                <c:pt idx="105">
                  <c:v>9.5000000000000001E-2</c:v>
                </c:pt>
                <c:pt idx="106">
                  <c:v>9.4E-2</c:v>
                </c:pt>
                <c:pt idx="107">
                  <c:v>9.3000000000000013E-2</c:v>
                </c:pt>
                <c:pt idx="108">
                  <c:v>9.1999999999999998E-2</c:v>
                </c:pt>
                <c:pt idx="109">
                  <c:v>9.0999999999999998E-2</c:v>
                </c:pt>
                <c:pt idx="110">
                  <c:v>0.09</c:v>
                </c:pt>
                <c:pt idx="111">
                  <c:v>8.900000000000001E-2</c:v>
                </c:pt>
                <c:pt idx="112">
                  <c:v>8.8000000000000009E-2</c:v>
                </c:pt>
                <c:pt idx="113">
                  <c:v>8.6999999999999994E-2</c:v>
                </c:pt>
                <c:pt idx="114">
                  <c:v>8.5999999999999993E-2</c:v>
                </c:pt>
                <c:pt idx="115">
                  <c:v>8.5000000000000006E-2</c:v>
                </c:pt>
                <c:pt idx="116">
                  <c:v>8.4000000000000005E-2</c:v>
                </c:pt>
                <c:pt idx="117">
                  <c:v>8.3000000000000004E-2</c:v>
                </c:pt>
                <c:pt idx="118">
                  <c:v>8.199999999999999E-2</c:v>
                </c:pt>
                <c:pt idx="119">
                  <c:v>8.1000000000000003E-2</c:v>
                </c:pt>
                <c:pt idx="120">
                  <c:v>0.08</c:v>
                </c:pt>
                <c:pt idx="121">
                  <c:v>7.9000000000000001E-2</c:v>
                </c:pt>
                <c:pt idx="122">
                  <c:v>7.8000000000000014E-2</c:v>
                </c:pt>
                <c:pt idx="123">
                  <c:v>7.6999999999999999E-2</c:v>
                </c:pt>
                <c:pt idx="124">
                  <c:v>7.5999999999999998E-2</c:v>
                </c:pt>
                <c:pt idx="125">
                  <c:v>7.4999999999999997E-2</c:v>
                </c:pt>
                <c:pt idx="126">
                  <c:v>7.400000000000001E-2</c:v>
                </c:pt>
                <c:pt idx="127">
                  <c:v>7.3000000000000009E-2</c:v>
                </c:pt>
                <c:pt idx="128">
                  <c:v>7.1999999999999995E-2</c:v>
                </c:pt>
                <c:pt idx="129">
                  <c:v>7.0999999999999994E-2</c:v>
                </c:pt>
                <c:pt idx="130">
                  <c:v>7.0000000000000007E-2</c:v>
                </c:pt>
                <c:pt idx="131">
                  <c:v>6.9000000000000006E-2</c:v>
                </c:pt>
                <c:pt idx="132">
                  <c:v>6.8000000000000005E-2</c:v>
                </c:pt>
                <c:pt idx="133">
                  <c:v>6.699999999999999E-2</c:v>
                </c:pt>
                <c:pt idx="134">
                  <c:v>6.6000000000000003E-2</c:v>
                </c:pt>
                <c:pt idx="135">
                  <c:v>6.5000000000000002E-2</c:v>
                </c:pt>
                <c:pt idx="136">
                  <c:v>6.4000000000000001E-2</c:v>
                </c:pt>
                <c:pt idx="137">
                  <c:v>6.3E-2</c:v>
                </c:pt>
                <c:pt idx="138">
                  <c:v>6.1999999999999993E-2</c:v>
                </c:pt>
                <c:pt idx="139">
                  <c:v>6.0999999999999999E-2</c:v>
                </c:pt>
                <c:pt idx="140">
                  <c:v>0.06</c:v>
                </c:pt>
                <c:pt idx="141">
                  <c:v>5.9000000000000004E-2</c:v>
                </c:pt>
                <c:pt idx="142">
                  <c:v>5.800000000000001E-2</c:v>
                </c:pt>
                <c:pt idx="143">
                  <c:v>5.6999999999999995E-2</c:v>
                </c:pt>
                <c:pt idx="144">
                  <c:v>5.5999999999999994E-2</c:v>
                </c:pt>
                <c:pt idx="145">
                  <c:v>5.5E-2</c:v>
                </c:pt>
                <c:pt idx="146">
                  <c:v>5.4000000000000006E-2</c:v>
                </c:pt>
                <c:pt idx="147">
                  <c:v>5.3000000000000005E-2</c:v>
                </c:pt>
                <c:pt idx="148">
                  <c:v>5.1999999999999991E-2</c:v>
                </c:pt>
                <c:pt idx="149">
                  <c:v>5.0999999999999997E-2</c:v>
                </c:pt>
                <c:pt idx="150">
                  <c:v>0.05</c:v>
                </c:pt>
                <c:pt idx="151">
                  <c:v>4.9000000000000002E-2</c:v>
                </c:pt>
                <c:pt idx="152">
                  <c:v>4.8000000000000008E-2</c:v>
                </c:pt>
                <c:pt idx="153">
                  <c:v>4.6999999999999993E-2</c:v>
                </c:pt>
                <c:pt idx="154">
                  <c:v>4.5999999999999999E-2</c:v>
                </c:pt>
                <c:pt idx="155">
                  <c:v>4.4999999999999998E-2</c:v>
                </c:pt>
                <c:pt idx="156">
                  <c:v>4.4000000000000004E-2</c:v>
                </c:pt>
                <c:pt idx="157">
                  <c:v>4.300000000000001E-2</c:v>
                </c:pt>
                <c:pt idx="158">
                  <c:v>4.1999999999999996E-2</c:v>
                </c:pt>
                <c:pt idx="159">
                  <c:v>4.0999999999999995E-2</c:v>
                </c:pt>
                <c:pt idx="160">
                  <c:v>0.04</c:v>
                </c:pt>
                <c:pt idx="161">
                  <c:v>3.8999999999999986E-2</c:v>
                </c:pt>
                <c:pt idx="162">
                  <c:v>3.8000000000000006E-2</c:v>
                </c:pt>
                <c:pt idx="163">
                  <c:v>3.6999999999999991E-2</c:v>
                </c:pt>
                <c:pt idx="164">
                  <c:v>3.6000000000000011E-2</c:v>
                </c:pt>
                <c:pt idx="165">
                  <c:v>3.5000000000000003E-2</c:v>
                </c:pt>
                <c:pt idx="166">
                  <c:v>3.3999999999999989E-2</c:v>
                </c:pt>
                <c:pt idx="167">
                  <c:v>3.3000000000000008E-2</c:v>
                </c:pt>
                <c:pt idx="168">
                  <c:v>3.1999999999999994E-2</c:v>
                </c:pt>
                <c:pt idx="169">
                  <c:v>3.1000000000000014E-2</c:v>
                </c:pt>
                <c:pt idx="170">
                  <c:v>0.03</c:v>
                </c:pt>
                <c:pt idx="171">
                  <c:v>2.8999999999999984E-2</c:v>
                </c:pt>
                <c:pt idx="172">
                  <c:v>2.8000000000000008E-2</c:v>
                </c:pt>
                <c:pt idx="173">
                  <c:v>2.6999999999999993E-2</c:v>
                </c:pt>
                <c:pt idx="174">
                  <c:v>2.6000000000000013E-2</c:v>
                </c:pt>
                <c:pt idx="175">
                  <c:v>2.5000000000000001E-2</c:v>
                </c:pt>
                <c:pt idx="176">
                  <c:v>2.3999999999999987E-2</c:v>
                </c:pt>
                <c:pt idx="177">
                  <c:v>2.3000000000000007E-2</c:v>
                </c:pt>
                <c:pt idx="178">
                  <c:v>2.1999999999999992E-2</c:v>
                </c:pt>
                <c:pt idx="179">
                  <c:v>2.1000000000000015E-2</c:v>
                </c:pt>
                <c:pt idx="180">
                  <c:v>0.02</c:v>
                </c:pt>
                <c:pt idx="181">
                  <c:v>1.8999999999999986E-2</c:v>
                </c:pt>
                <c:pt idx="182">
                  <c:v>1.8000000000000006E-2</c:v>
                </c:pt>
                <c:pt idx="183">
                  <c:v>1.6999999999999994E-2</c:v>
                </c:pt>
                <c:pt idx="184">
                  <c:v>1.6000000000000014E-2</c:v>
                </c:pt>
                <c:pt idx="185">
                  <c:v>1.4999999999999999E-2</c:v>
                </c:pt>
                <c:pt idx="186">
                  <c:v>1.3999999999999986E-2</c:v>
                </c:pt>
                <c:pt idx="187">
                  <c:v>1.3000000000000006E-2</c:v>
                </c:pt>
                <c:pt idx="188">
                  <c:v>1.1999999999999993E-2</c:v>
                </c:pt>
                <c:pt idx="189">
                  <c:v>1.1000000000000015E-2</c:v>
                </c:pt>
                <c:pt idx="190">
                  <c:v>0.01</c:v>
                </c:pt>
                <c:pt idx="191">
                  <c:v>8.9999999999999854E-3</c:v>
                </c:pt>
                <c:pt idx="192">
                  <c:v>8.0000000000000071E-3</c:v>
                </c:pt>
                <c:pt idx="193">
                  <c:v>6.9999999999999932E-3</c:v>
                </c:pt>
                <c:pt idx="194">
                  <c:v>6.000000000000014E-3</c:v>
                </c:pt>
                <c:pt idx="195">
                  <c:v>5.0000000000000001E-3</c:v>
                </c:pt>
                <c:pt idx="196">
                  <c:v>3.9999999999999862E-3</c:v>
                </c:pt>
                <c:pt idx="197">
                  <c:v>3.000000000000007E-3</c:v>
                </c:pt>
                <c:pt idx="198">
                  <c:v>1.9999999999999931E-3</c:v>
                </c:pt>
                <c:pt idx="199">
                  <c:v>1.0000000000000141E-3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E1-42CC-BA80-2B9EEF6F5DF7}"/>
            </c:ext>
          </c:extLst>
        </c:ser>
        <c:ser>
          <c:idx val="5"/>
          <c:order val="1"/>
          <c:tx>
            <c:v>o(𝜏) uniform inflow (continuous)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'Figure 4'!$A$49:$A$449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</c:numCache>
            </c:numRef>
          </c:xVal>
          <c:yVal>
            <c:numRef>
              <c:f>'Figure 4'!$C$49:$C$449</c:f>
              <c:numCache>
                <c:formatCode>General</c:formatCode>
                <c:ptCount val="401"/>
                <c:pt idx="0">
                  <c:v>0</c:v>
                </c:pt>
                <c:pt idx="1">
                  <c:v>4.9875000000000821E-3</c:v>
                </c:pt>
                <c:pt idx="2">
                  <c:v>9.9499999999999745E-3</c:v>
                </c:pt>
                <c:pt idx="3">
                  <c:v>1.4887500000000031E-2</c:v>
                </c:pt>
                <c:pt idx="4">
                  <c:v>1.9799999999999898E-2</c:v>
                </c:pt>
                <c:pt idx="5">
                  <c:v>2.4687500000000001E-2</c:v>
                </c:pt>
                <c:pt idx="6">
                  <c:v>2.9550000000000055E-2</c:v>
                </c:pt>
                <c:pt idx="7">
                  <c:v>3.4387499999999988E-2</c:v>
                </c:pt>
                <c:pt idx="8">
                  <c:v>3.920000000000002E-2</c:v>
                </c:pt>
                <c:pt idx="9">
                  <c:v>4.3987499999999929E-2</c:v>
                </c:pt>
                <c:pt idx="10">
                  <c:v>4.8750000000000002E-2</c:v>
                </c:pt>
                <c:pt idx="11">
                  <c:v>5.3487500000000097E-2</c:v>
                </c:pt>
                <c:pt idx="12">
                  <c:v>5.8199999999999932E-2</c:v>
                </c:pt>
                <c:pt idx="13">
                  <c:v>6.2887499999999999E-2</c:v>
                </c:pt>
                <c:pt idx="14">
                  <c:v>6.7549999999999957E-2</c:v>
                </c:pt>
                <c:pt idx="15">
                  <c:v>7.2187500000000002E-2</c:v>
                </c:pt>
                <c:pt idx="16">
                  <c:v>7.6800000000000063E-2</c:v>
                </c:pt>
                <c:pt idx="17">
                  <c:v>8.1387499999999946E-2</c:v>
                </c:pt>
                <c:pt idx="18">
                  <c:v>8.5950000000000054E-2</c:v>
                </c:pt>
                <c:pt idx="19">
                  <c:v>9.0487499999999915E-2</c:v>
                </c:pt>
                <c:pt idx="20">
                  <c:v>9.5000000000000001E-2</c:v>
                </c:pt>
                <c:pt idx="21">
                  <c:v>9.9487500000000034E-2</c:v>
                </c:pt>
                <c:pt idx="22">
                  <c:v>0.10394999999999996</c:v>
                </c:pt>
                <c:pt idx="23">
                  <c:v>0.10838750000000004</c:v>
                </c:pt>
                <c:pt idx="24">
                  <c:v>0.11279999999999994</c:v>
                </c:pt>
                <c:pt idx="25">
                  <c:v>0.1171875</c:v>
                </c:pt>
                <c:pt idx="26">
                  <c:v>0.12155000000000009</c:v>
                </c:pt>
                <c:pt idx="27">
                  <c:v>0.12588749999999999</c:v>
                </c:pt>
                <c:pt idx="28">
                  <c:v>0.13020000000000004</c:v>
                </c:pt>
                <c:pt idx="29">
                  <c:v>0.13448749999999998</c:v>
                </c:pt>
                <c:pt idx="30">
                  <c:v>0.13875000000000001</c:v>
                </c:pt>
                <c:pt idx="31">
                  <c:v>0.14298750000000005</c:v>
                </c:pt>
                <c:pt idx="32">
                  <c:v>0.1472</c:v>
                </c:pt>
                <c:pt idx="33">
                  <c:v>0.15138750000000001</c:v>
                </c:pt>
                <c:pt idx="34">
                  <c:v>0.15554999999999994</c:v>
                </c:pt>
                <c:pt idx="35">
                  <c:v>0.15968750000000001</c:v>
                </c:pt>
                <c:pt idx="36">
                  <c:v>0.16380000000000003</c:v>
                </c:pt>
                <c:pt idx="37">
                  <c:v>0.1678875</c:v>
                </c:pt>
                <c:pt idx="38">
                  <c:v>0.17194999999999999</c:v>
                </c:pt>
                <c:pt idx="39">
                  <c:v>0.17598749999999996</c:v>
                </c:pt>
                <c:pt idx="40">
                  <c:v>0.18</c:v>
                </c:pt>
                <c:pt idx="41">
                  <c:v>0.17899999999999991</c:v>
                </c:pt>
                <c:pt idx="42">
                  <c:v>0.17799999999999999</c:v>
                </c:pt>
                <c:pt idx="43">
                  <c:v>0.17699999999999999</c:v>
                </c:pt>
                <c:pt idx="44">
                  <c:v>0.17600000000000013</c:v>
                </c:pt>
                <c:pt idx="45">
                  <c:v>0.17499999999999999</c:v>
                </c:pt>
                <c:pt idx="46">
                  <c:v>0.17399999999999993</c:v>
                </c:pt>
                <c:pt idx="47">
                  <c:v>0.17299999999999996</c:v>
                </c:pt>
                <c:pt idx="48">
                  <c:v>0.17199999999999999</c:v>
                </c:pt>
                <c:pt idx="49">
                  <c:v>0.17100000000000007</c:v>
                </c:pt>
                <c:pt idx="50">
                  <c:v>0.16999999999999998</c:v>
                </c:pt>
                <c:pt idx="51">
                  <c:v>0.16899999999999987</c:v>
                </c:pt>
                <c:pt idx="52">
                  <c:v>0.16800000000000004</c:v>
                </c:pt>
                <c:pt idx="53">
                  <c:v>0.16700000000000004</c:v>
                </c:pt>
                <c:pt idx="54">
                  <c:v>0.16600000000000004</c:v>
                </c:pt>
                <c:pt idx="55">
                  <c:v>0.16499999999999998</c:v>
                </c:pt>
                <c:pt idx="56">
                  <c:v>0.16399999999999992</c:v>
                </c:pt>
                <c:pt idx="57">
                  <c:v>0.16300000000000003</c:v>
                </c:pt>
                <c:pt idx="58">
                  <c:v>0.16199999999999995</c:v>
                </c:pt>
                <c:pt idx="59">
                  <c:v>0.16100000000000006</c:v>
                </c:pt>
                <c:pt idx="60">
                  <c:v>0.16</c:v>
                </c:pt>
                <c:pt idx="61">
                  <c:v>0.15899999999999995</c:v>
                </c:pt>
                <c:pt idx="62">
                  <c:v>0.158</c:v>
                </c:pt>
                <c:pt idx="63">
                  <c:v>0.15700000000000003</c:v>
                </c:pt>
                <c:pt idx="64">
                  <c:v>0.15600000000000008</c:v>
                </c:pt>
                <c:pt idx="65">
                  <c:v>0.15500000000000003</c:v>
                </c:pt>
                <c:pt idx="66">
                  <c:v>0.15399999999999991</c:v>
                </c:pt>
                <c:pt idx="67">
                  <c:v>0.15299999999999997</c:v>
                </c:pt>
                <c:pt idx="68">
                  <c:v>0.15199999999999997</c:v>
                </c:pt>
                <c:pt idx="69">
                  <c:v>0.15100000000000002</c:v>
                </c:pt>
                <c:pt idx="70">
                  <c:v>0.15</c:v>
                </c:pt>
                <c:pt idx="71">
                  <c:v>0.14899999999999997</c:v>
                </c:pt>
                <c:pt idx="72">
                  <c:v>0.14799999999999996</c:v>
                </c:pt>
                <c:pt idx="73">
                  <c:v>0.14700000000000002</c:v>
                </c:pt>
                <c:pt idx="74">
                  <c:v>0.14600000000000005</c:v>
                </c:pt>
                <c:pt idx="75">
                  <c:v>0.14499999999999999</c:v>
                </c:pt>
                <c:pt idx="76">
                  <c:v>0.14399999999999993</c:v>
                </c:pt>
                <c:pt idx="77">
                  <c:v>0.14299999999999999</c:v>
                </c:pt>
                <c:pt idx="78">
                  <c:v>0.14200000000000002</c:v>
                </c:pt>
                <c:pt idx="79">
                  <c:v>0.14100000000000001</c:v>
                </c:pt>
                <c:pt idx="80">
                  <c:v>0.14000000000000001</c:v>
                </c:pt>
                <c:pt idx="81">
                  <c:v>0.13899999999999998</c:v>
                </c:pt>
                <c:pt idx="82">
                  <c:v>0.13799999999999998</c:v>
                </c:pt>
                <c:pt idx="83">
                  <c:v>0.13699999999999998</c:v>
                </c:pt>
                <c:pt idx="84">
                  <c:v>0.13599999999999995</c:v>
                </c:pt>
                <c:pt idx="85">
                  <c:v>0.13500000000000004</c:v>
                </c:pt>
                <c:pt idx="86">
                  <c:v>0.13400000000000004</c:v>
                </c:pt>
                <c:pt idx="87">
                  <c:v>0.13300000000000006</c:v>
                </c:pt>
                <c:pt idx="88">
                  <c:v>0.13200000000000001</c:v>
                </c:pt>
                <c:pt idx="89">
                  <c:v>0.13100000000000001</c:v>
                </c:pt>
                <c:pt idx="90">
                  <c:v>0.13</c:v>
                </c:pt>
                <c:pt idx="91">
                  <c:v>0.12900000000000003</c:v>
                </c:pt>
                <c:pt idx="92">
                  <c:v>0.12799999999999997</c:v>
                </c:pt>
                <c:pt idx="93">
                  <c:v>0.127</c:v>
                </c:pt>
                <c:pt idx="94">
                  <c:v>0.12599999999999997</c:v>
                </c:pt>
                <c:pt idx="95">
                  <c:v>0.125</c:v>
                </c:pt>
                <c:pt idx="96">
                  <c:v>0.12400000000000003</c:v>
                </c:pt>
                <c:pt idx="97">
                  <c:v>0.123</c:v>
                </c:pt>
                <c:pt idx="98">
                  <c:v>0.122</c:v>
                </c:pt>
                <c:pt idx="99">
                  <c:v>0.12100000000000005</c:v>
                </c:pt>
                <c:pt idx="100">
                  <c:v>0.12</c:v>
                </c:pt>
                <c:pt idx="101">
                  <c:v>0.11899999999999999</c:v>
                </c:pt>
                <c:pt idx="102">
                  <c:v>0.11799999999999999</c:v>
                </c:pt>
                <c:pt idx="103">
                  <c:v>0.11699999999999994</c:v>
                </c:pt>
                <c:pt idx="104">
                  <c:v>0.11599999999999999</c:v>
                </c:pt>
                <c:pt idx="105">
                  <c:v>0.11499999999999999</c:v>
                </c:pt>
                <c:pt idx="106">
                  <c:v>0.11399999999999999</c:v>
                </c:pt>
                <c:pt idx="107">
                  <c:v>0.11300000000000004</c:v>
                </c:pt>
                <c:pt idx="108">
                  <c:v>0.11199999999999999</c:v>
                </c:pt>
                <c:pt idx="109">
                  <c:v>0.11099999999999999</c:v>
                </c:pt>
                <c:pt idx="110">
                  <c:v>0.10999999999999999</c:v>
                </c:pt>
                <c:pt idx="111">
                  <c:v>0.10899999999999999</c:v>
                </c:pt>
                <c:pt idx="112">
                  <c:v>0.10800000000000004</c:v>
                </c:pt>
                <c:pt idx="113">
                  <c:v>0.10699999999999998</c:v>
                </c:pt>
                <c:pt idx="114">
                  <c:v>0.10600000000000004</c:v>
                </c:pt>
                <c:pt idx="115">
                  <c:v>0.10499999999999998</c:v>
                </c:pt>
                <c:pt idx="116">
                  <c:v>0.10400000000000004</c:v>
                </c:pt>
                <c:pt idx="117">
                  <c:v>0.10299999999999998</c:v>
                </c:pt>
                <c:pt idx="118">
                  <c:v>0.10199999999999998</c:v>
                </c:pt>
                <c:pt idx="119">
                  <c:v>0.10100000000000003</c:v>
                </c:pt>
                <c:pt idx="120">
                  <c:v>9.9999999999999978E-2</c:v>
                </c:pt>
                <c:pt idx="121">
                  <c:v>9.9000000000000032E-2</c:v>
                </c:pt>
                <c:pt idx="122">
                  <c:v>9.8000000000000032E-2</c:v>
                </c:pt>
                <c:pt idx="123">
                  <c:v>9.7000000000000031E-2</c:v>
                </c:pt>
                <c:pt idx="124">
                  <c:v>9.600000000000003E-2</c:v>
                </c:pt>
                <c:pt idx="125">
                  <c:v>9.4999999999999973E-2</c:v>
                </c:pt>
                <c:pt idx="126">
                  <c:v>9.3999999999999972E-2</c:v>
                </c:pt>
                <c:pt idx="127">
                  <c:v>9.2999999999999972E-2</c:v>
                </c:pt>
                <c:pt idx="128">
                  <c:v>9.2000000000000026E-2</c:v>
                </c:pt>
                <c:pt idx="129">
                  <c:v>9.1000000000000025E-2</c:v>
                </c:pt>
                <c:pt idx="130">
                  <c:v>8.9999999999999969E-2</c:v>
                </c:pt>
                <c:pt idx="131">
                  <c:v>8.8999999999999968E-2</c:v>
                </c:pt>
                <c:pt idx="132">
                  <c:v>8.8000000000000023E-2</c:v>
                </c:pt>
                <c:pt idx="133">
                  <c:v>8.6999999999999966E-2</c:v>
                </c:pt>
                <c:pt idx="134">
                  <c:v>8.6000000000000021E-2</c:v>
                </c:pt>
                <c:pt idx="135">
                  <c:v>8.500000000000002E-2</c:v>
                </c:pt>
                <c:pt idx="136">
                  <c:v>8.3999999999999964E-2</c:v>
                </c:pt>
                <c:pt idx="137">
                  <c:v>8.3000000000000018E-2</c:v>
                </c:pt>
                <c:pt idx="138">
                  <c:v>8.2000000000000017E-2</c:v>
                </c:pt>
                <c:pt idx="139">
                  <c:v>8.0999999999999961E-2</c:v>
                </c:pt>
                <c:pt idx="140">
                  <c:v>8.0000000000000016E-2</c:v>
                </c:pt>
                <c:pt idx="141">
                  <c:v>7.9000000000000015E-2</c:v>
                </c:pt>
                <c:pt idx="142">
                  <c:v>7.8000000000000014E-2</c:v>
                </c:pt>
                <c:pt idx="143">
                  <c:v>7.7000000000000013E-2</c:v>
                </c:pt>
                <c:pt idx="144">
                  <c:v>7.5999999999999956E-2</c:v>
                </c:pt>
                <c:pt idx="145">
                  <c:v>7.4999999999999956E-2</c:v>
                </c:pt>
                <c:pt idx="146">
                  <c:v>7.400000000000001E-2</c:v>
                </c:pt>
                <c:pt idx="147">
                  <c:v>7.3000000000000009E-2</c:v>
                </c:pt>
                <c:pt idx="148">
                  <c:v>7.2000000000000008E-2</c:v>
                </c:pt>
                <c:pt idx="149">
                  <c:v>7.1000000000000008E-2</c:v>
                </c:pt>
                <c:pt idx="150">
                  <c:v>7.0000000000000007E-2</c:v>
                </c:pt>
                <c:pt idx="151">
                  <c:v>6.9000000000000006E-2</c:v>
                </c:pt>
                <c:pt idx="152">
                  <c:v>6.8000000000000005E-2</c:v>
                </c:pt>
                <c:pt idx="153">
                  <c:v>6.7000000000000004E-2</c:v>
                </c:pt>
                <c:pt idx="154">
                  <c:v>6.6000000000000003E-2</c:v>
                </c:pt>
                <c:pt idx="155">
                  <c:v>6.5000000000000002E-2</c:v>
                </c:pt>
                <c:pt idx="156">
                  <c:v>6.4000000000000001E-2</c:v>
                </c:pt>
                <c:pt idx="157">
                  <c:v>6.3000000000000056E-2</c:v>
                </c:pt>
                <c:pt idx="158">
                  <c:v>6.2E-2</c:v>
                </c:pt>
                <c:pt idx="159">
                  <c:v>6.0999999999999999E-2</c:v>
                </c:pt>
                <c:pt idx="160">
                  <c:v>0.06</c:v>
                </c:pt>
                <c:pt idx="161">
                  <c:v>5.8999999999999997E-2</c:v>
                </c:pt>
                <c:pt idx="162">
                  <c:v>5.7999999999999996E-2</c:v>
                </c:pt>
                <c:pt idx="163">
                  <c:v>5.6999999999999995E-2</c:v>
                </c:pt>
                <c:pt idx="164">
                  <c:v>5.600000000000005E-2</c:v>
                </c:pt>
                <c:pt idx="165">
                  <c:v>5.4999999999999993E-2</c:v>
                </c:pt>
                <c:pt idx="166">
                  <c:v>5.3999999999999992E-2</c:v>
                </c:pt>
                <c:pt idx="167">
                  <c:v>5.2999999999999992E-2</c:v>
                </c:pt>
                <c:pt idx="168">
                  <c:v>5.1999999999999991E-2</c:v>
                </c:pt>
                <c:pt idx="169">
                  <c:v>5.099999999999999E-2</c:v>
                </c:pt>
                <c:pt idx="170">
                  <c:v>5.0000000000000044E-2</c:v>
                </c:pt>
                <c:pt idx="171">
                  <c:v>4.8999999999999988E-2</c:v>
                </c:pt>
                <c:pt idx="172">
                  <c:v>4.7999999999999987E-2</c:v>
                </c:pt>
                <c:pt idx="173">
                  <c:v>4.7000000000000042E-2</c:v>
                </c:pt>
                <c:pt idx="174">
                  <c:v>4.5999999999999985E-2</c:v>
                </c:pt>
                <c:pt idx="175">
                  <c:v>4.4999999999999984E-2</c:v>
                </c:pt>
                <c:pt idx="176">
                  <c:v>4.3999999999999984E-2</c:v>
                </c:pt>
                <c:pt idx="177">
                  <c:v>4.2999999999999983E-2</c:v>
                </c:pt>
                <c:pt idx="178">
                  <c:v>4.1999999999999982E-2</c:v>
                </c:pt>
                <c:pt idx="179">
                  <c:v>4.0999999999999981E-2</c:v>
                </c:pt>
                <c:pt idx="180">
                  <c:v>3.999999999999998E-2</c:v>
                </c:pt>
                <c:pt idx="181">
                  <c:v>3.8999999999999979E-2</c:v>
                </c:pt>
                <c:pt idx="182">
                  <c:v>3.8000000000000034E-2</c:v>
                </c:pt>
                <c:pt idx="183">
                  <c:v>3.6999999999999977E-2</c:v>
                </c:pt>
                <c:pt idx="184">
                  <c:v>3.6000000000000032E-2</c:v>
                </c:pt>
                <c:pt idx="185">
                  <c:v>3.5000000000000031E-2</c:v>
                </c:pt>
                <c:pt idx="186">
                  <c:v>3.3999999999999975E-2</c:v>
                </c:pt>
                <c:pt idx="187">
                  <c:v>3.2999999999999974E-2</c:v>
                </c:pt>
                <c:pt idx="188">
                  <c:v>3.1999999999999973E-2</c:v>
                </c:pt>
                <c:pt idx="189">
                  <c:v>3.0999999999999972E-2</c:v>
                </c:pt>
                <c:pt idx="190">
                  <c:v>3.0000000000000027E-2</c:v>
                </c:pt>
                <c:pt idx="191">
                  <c:v>2.9000000000000026E-2</c:v>
                </c:pt>
                <c:pt idx="192">
                  <c:v>2.7999999999999969E-2</c:v>
                </c:pt>
                <c:pt idx="193">
                  <c:v>2.6999999999999968E-2</c:v>
                </c:pt>
                <c:pt idx="194">
                  <c:v>2.6000000000000023E-2</c:v>
                </c:pt>
                <c:pt idx="195">
                  <c:v>2.5000000000000022E-2</c:v>
                </c:pt>
                <c:pt idx="196">
                  <c:v>2.4000000000000021E-2</c:v>
                </c:pt>
                <c:pt idx="197">
                  <c:v>2.2999999999999965E-2</c:v>
                </c:pt>
                <c:pt idx="198">
                  <c:v>2.200000000000002E-2</c:v>
                </c:pt>
                <c:pt idx="199">
                  <c:v>2.0999999999999963E-2</c:v>
                </c:pt>
                <c:pt idx="200">
                  <c:v>2.0000000000000018E-2</c:v>
                </c:pt>
                <c:pt idx="201">
                  <c:v>1.9012499999999988E-2</c:v>
                </c:pt>
                <c:pt idx="202">
                  <c:v>1.805000000000001E-2</c:v>
                </c:pt>
                <c:pt idx="203">
                  <c:v>1.7112499999999975E-2</c:v>
                </c:pt>
                <c:pt idx="204">
                  <c:v>1.6199999999999992E-2</c:v>
                </c:pt>
                <c:pt idx="205">
                  <c:v>1.5312500000000007E-2</c:v>
                </c:pt>
                <c:pt idx="206">
                  <c:v>1.4449999999999963E-2</c:v>
                </c:pt>
                <c:pt idx="207">
                  <c:v>1.3612500000000027E-2</c:v>
                </c:pt>
                <c:pt idx="208">
                  <c:v>1.2799999999999978E-2</c:v>
                </c:pt>
                <c:pt idx="209">
                  <c:v>1.2012500000000037E-2</c:v>
                </c:pt>
                <c:pt idx="210">
                  <c:v>1.1249999999999982E-2</c:v>
                </c:pt>
                <c:pt idx="211">
                  <c:v>1.051249999999998E-2</c:v>
                </c:pt>
                <c:pt idx="212">
                  <c:v>9.8000000000000309E-3</c:v>
                </c:pt>
                <c:pt idx="213">
                  <c:v>9.1124999999999678E-3</c:v>
                </c:pt>
                <c:pt idx="214">
                  <c:v>8.4500000000000131E-3</c:v>
                </c:pt>
                <c:pt idx="215">
                  <c:v>7.8125E-3</c:v>
                </c:pt>
                <c:pt idx="216">
                  <c:v>7.1999999999999842E-3</c:v>
                </c:pt>
                <c:pt idx="217">
                  <c:v>6.6125000000000211E-3</c:v>
                </c:pt>
                <c:pt idx="218">
                  <c:v>6.0499999999999998E-3</c:v>
                </c:pt>
                <c:pt idx="219">
                  <c:v>5.5125000000000313E-3</c:v>
                </c:pt>
                <c:pt idx="220">
                  <c:v>5.0000000000000044E-3</c:v>
                </c:pt>
                <c:pt idx="221">
                  <c:v>4.5124999999999749E-3</c:v>
                </c:pt>
                <c:pt idx="222">
                  <c:v>4.049999999999998E-3</c:v>
                </c:pt>
                <c:pt idx="223">
                  <c:v>3.6125000000000185E-3</c:v>
                </c:pt>
                <c:pt idx="224">
                  <c:v>3.1999999999999806E-3</c:v>
                </c:pt>
                <c:pt idx="225">
                  <c:v>2.8124999999999956E-3</c:v>
                </c:pt>
                <c:pt idx="226">
                  <c:v>2.4500000000000077E-3</c:v>
                </c:pt>
                <c:pt idx="227">
                  <c:v>2.1125000000000171E-3</c:v>
                </c:pt>
                <c:pt idx="228">
                  <c:v>1.8000000000000238E-3</c:v>
                </c:pt>
                <c:pt idx="229">
                  <c:v>1.5125000000000277E-3</c:v>
                </c:pt>
                <c:pt idx="230">
                  <c:v>1.2499999999999734E-3</c:v>
                </c:pt>
                <c:pt idx="231">
                  <c:v>1.0124999999999718E-3</c:v>
                </c:pt>
                <c:pt idx="232">
                  <c:v>8.0000000000002292E-4</c:v>
                </c:pt>
                <c:pt idx="233">
                  <c:v>6.1250000000001581E-4</c:v>
                </c:pt>
                <c:pt idx="234">
                  <c:v>4.5000000000000595E-4</c:v>
                </c:pt>
                <c:pt idx="235">
                  <c:v>3.1249999999999334E-4</c:v>
                </c:pt>
                <c:pt idx="236">
                  <c:v>1.9999999999997797E-4</c:v>
                </c:pt>
                <c:pt idx="237">
                  <c:v>1.1250000000001537E-4</c:v>
                </c:pt>
                <c:pt idx="238">
                  <c:v>4.9999999999994493E-5</c:v>
                </c:pt>
                <c:pt idx="239">
                  <c:v>1.2500000000026379E-5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4E1-42CC-BA80-2B9EEF6F5DF7}"/>
            </c:ext>
          </c:extLst>
        </c:ser>
        <c:ser>
          <c:idx val="1"/>
          <c:order val="2"/>
          <c:tx>
            <c:v>o(𝜏) paper Lauinger ('discrete')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'Figure 4'!$A$17:$A$45</c:f>
              <c:numCache>
                <c:formatCode>General</c:formatCode>
                <c:ptCount val="29"/>
                <c:pt idx="0">
                  <c:v>0</c:v>
                </c:pt>
                <c:pt idx="1">
                  <c:v>2</c:v>
                </c:pt>
                <c:pt idx="3">
                  <c:v>2</c:v>
                </c:pt>
                <c:pt idx="4">
                  <c:v>4</c:v>
                </c:pt>
                <c:pt idx="6">
                  <c:v>4</c:v>
                </c:pt>
                <c:pt idx="7">
                  <c:v>6</c:v>
                </c:pt>
                <c:pt idx="9">
                  <c:v>6</c:v>
                </c:pt>
                <c:pt idx="10">
                  <c:v>8</c:v>
                </c:pt>
                <c:pt idx="12">
                  <c:v>8</c:v>
                </c:pt>
                <c:pt idx="13">
                  <c:v>10</c:v>
                </c:pt>
                <c:pt idx="15">
                  <c:v>10</c:v>
                </c:pt>
                <c:pt idx="16">
                  <c:v>12</c:v>
                </c:pt>
                <c:pt idx="18">
                  <c:v>12</c:v>
                </c:pt>
                <c:pt idx="19">
                  <c:v>14</c:v>
                </c:pt>
                <c:pt idx="21">
                  <c:v>14</c:v>
                </c:pt>
                <c:pt idx="22">
                  <c:v>16</c:v>
                </c:pt>
                <c:pt idx="24">
                  <c:v>16</c:v>
                </c:pt>
                <c:pt idx="25">
                  <c:v>18</c:v>
                </c:pt>
                <c:pt idx="27">
                  <c:v>18</c:v>
                </c:pt>
                <c:pt idx="28">
                  <c:v>20</c:v>
                </c:pt>
              </c:numCache>
            </c:numRef>
          </c:xVal>
          <c:yVal>
            <c:numRef>
              <c:f>'Figure 4'!$B$17:$B$45</c:f>
              <c:numCache>
                <c:formatCode>0.0000000</c:formatCode>
                <c:ptCount val="29"/>
                <c:pt idx="0">
                  <c:v>0.16666666666666669</c:v>
                </c:pt>
                <c:pt idx="1">
                  <c:v>0.16666666666666669</c:v>
                </c:pt>
                <c:pt idx="3">
                  <c:v>0.13333333333333333</c:v>
                </c:pt>
                <c:pt idx="4">
                  <c:v>0.13333333333333333</c:v>
                </c:pt>
                <c:pt idx="6">
                  <c:v>0.1</c:v>
                </c:pt>
                <c:pt idx="7">
                  <c:v>0.1</c:v>
                </c:pt>
                <c:pt idx="9">
                  <c:v>6.6666666666666666E-2</c:v>
                </c:pt>
                <c:pt idx="10">
                  <c:v>6.6666666666666666E-2</c:v>
                </c:pt>
                <c:pt idx="12">
                  <c:v>3.3333333333333333E-2</c:v>
                </c:pt>
                <c:pt idx="13">
                  <c:v>3.3333333333333333E-2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4E1-42CC-BA80-2B9EEF6F5DF7}"/>
            </c:ext>
          </c:extLst>
        </c:ser>
        <c:ser>
          <c:idx val="3"/>
          <c:order val="3"/>
          <c:tx>
            <c:v>o(𝜏) inflow at start ('discret')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'Figure 4'!$A$17:$A$45</c:f>
              <c:numCache>
                <c:formatCode>General</c:formatCode>
                <c:ptCount val="29"/>
                <c:pt idx="0">
                  <c:v>0</c:v>
                </c:pt>
                <c:pt idx="1">
                  <c:v>2</c:v>
                </c:pt>
                <c:pt idx="3">
                  <c:v>2</c:v>
                </c:pt>
                <c:pt idx="4">
                  <c:v>4</c:v>
                </c:pt>
                <c:pt idx="6">
                  <c:v>4</c:v>
                </c:pt>
                <c:pt idx="7">
                  <c:v>6</c:v>
                </c:pt>
                <c:pt idx="9">
                  <c:v>6</c:v>
                </c:pt>
                <c:pt idx="10">
                  <c:v>8</c:v>
                </c:pt>
                <c:pt idx="12">
                  <c:v>8</c:v>
                </c:pt>
                <c:pt idx="13">
                  <c:v>10</c:v>
                </c:pt>
                <c:pt idx="15">
                  <c:v>10</c:v>
                </c:pt>
                <c:pt idx="16">
                  <c:v>12</c:v>
                </c:pt>
                <c:pt idx="18">
                  <c:v>12</c:v>
                </c:pt>
                <c:pt idx="19">
                  <c:v>14</c:v>
                </c:pt>
                <c:pt idx="21">
                  <c:v>14</c:v>
                </c:pt>
                <c:pt idx="22">
                  <c:v>16</c:v>
                </c:pt>
                <c:pt idx="24">
                  <c:v>16</c:v>
                </c:pt>
                <c:pt idx="25">
                  <c:v>18</c:v>
                </c:pt>
                <c:pt idx="27">
                  <c:v>18</c:v>
                </c:pt>
                <c:pt idx="28">
                  <c:v>20</c:v>
                </c:pt>
              </c:numCache>
            </c:numRef>
          </c:xVal>
          <c:yVal>
            <c:numRef>
              <c:f>'Figure 4'!$D$17:$D$45</c:f>
              <c:numCache>
                <c:formatCode>General</c:formatCode>
                <c:ptCount val="29"/>
                <c:pt idx="0">
                  <c:v>0.18</c:v>
                </c:pt>
                <c:pt idx="1">
                  <c:v>0.18</c:v>
                </c:pt>
                <c:pt idx="3">
                  <c:v>0.14000000000000001</c:v>
                </c:pt>
                <c:pt idx="4">
                  <c:v>0.14000000000000001</c:v>
                </c:pt>
                <c:pt idx="6">
                  <c:v>9.9999999999999978E-2</c:v>
                </c:pt>
                <c:pt idx="7">
                  <c:v>9.9999999999999978E-2</c:v>
                </c:pt>
                <c:pt idx="9">
                  <c:v>0.06</c:v>
                </c:pt>
                <c:pt idx="10">
                  <c:v>0.06</c:v>
                </c:pt>
                <c:pt idx="12">
                  <c:v>2.0000000000000018E-2</c:v>
                </c:pt>
                <c:pt idx="13">
                  <c:v>2.0000000000000018E-2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4E1-42CC-BA80-2B9EEF6F5DF7}"/>
            </c:ext>
          </c:extLst>
        </c:ser>
        <c:ser>
          <c:idx val="4"/>
          <c:order val="4"/>
          <c:tx>
            <c:v>o(𝜏) inflow at end ('discrete')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'Figure 4'!$A$17:$A$45</c:f>
              <c:numCache>
                <c:formatCode>General</c:formatCode>
                <c:ptCount val="29"/>
                <c:pt idx="0">
                  <c:v>0</c:v>
                </c:pt>
                <c:pt idx="1">
                  <c:v>2</c:v>
                </c:pt>
                <c:pt idx="3">
                  <c:v>2</c:v>
                </c:pt>
                <c:pt idx="4">
                  <c:v>4</c:v>
                </c:pt>
                <c:pt idx="6">
                  <c:v>4</c:v>
                </c:pt>
                <c:pt idx="7">
                  <c:v>6</c:v>
                </c:pt>
                <c:pt idx="9">
                  <c:v>6</c:v>
                </c:pt>
                <c:pt idx="10">
                  <c:v>8</c:v>
                </c:pt>
                <c:pt idx="12">
                  <c:v>8</c:v>
                </c:pt>
                <c:pt idx="13">
                  <c:v>10</c:v>
                </c:pt>
                <c:pt idx="15">
                  <c:v>10</c:v>
                </c:pt>
                <c:pt idx="16">
                  <c:v>12</c:v>
                </c:pt>
                <c:pt idx="18">
                  <c:v>12</c:v>
                </c:pt>
                <c:pt idx="19">
                  <c:v>14</c:v>
                </c:pt>
                <c:pt idx="21">
                  <c:v>14</c:v>
                </c:pt>
                <c:pt idx="22">
                  <c:v>16</c:v>
                </c:pt>
                <c:pt idx="24">
                  <c:v>16</c:v>
                </c:pt>
                <c:pt idx="25">
                  <c:v>18</c:v>
                </c:pt>
                <c:pt idx="27">
                  <c:v>18</c:v>
                </c:pt>
                <c:pt idx="28">
                  <c:v>20</c:v>
                </c:pt>
              </c:numCache>
            </c:numRef>
          </c:xVal>
          <c:yVal>
            <c:numRef>
              <c:f>'Figure 4'!$E$17:$E$45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3">
                  <c:v>0.18</c:v>
                </c:pt>
                <c:pt idx="4">
                  <c:v>0.18</c:v>
                </c:pt>
                <c:pt idx="6">
                  <c:v>0.14000000000000001</c:v>
                </c:pt>
                <c:pt idx="7">
                  <c:v>0.14000000000000001</c:v>
                </c:pt>
                <c:pt idx="9">
                  <c:v>9.9999999999999978E-2</c:v>
                </c:pt>
                <c:pt idx="10">
                  <c:v>9.9999999999999978E-2</c:v>
                </c:pt>
                <c:pt idx="12">
                  <c:v>0.06</c:v>
                </c:pt>
                <c:pt idx="13">
                  <c:v>0.06</c:v>
                </c:pt>
                <c:pt idx="15">
                  <c:v>2.0000000000000018E-2</c:v>
                </c:pt>
                <c:pt idx="16">
                  <c:v>2.0000000000000018E-2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4E1-42CC-BA80-2B9EEF6F5DF7}"/>
            </c:ext>
          </c:extLst>
        </c:ser>
        <c:ser>
          <c:idx val="2"/>
          <c:order val="5"/>
          <c:tx>
            <c:v>o(𝜏) uniform inflow ('discrete')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'Figure 4'!$A$17:$A$45</c:f>
              <c:numCache>
                <c:formatCode>General</c:formatCode>
                <c:ptCount val="29"/>
                <c:pt idx="0">
                  <c:v>0</c:v>
                </c:pt>
                <c:pt idx="1">
                  <c:v>2</c:v>
                </c:pt>
                <c:pt idx="3">
                  <c:v>2</c:v>
                </c:pt>
                <c:pt idx="4">
                  <c:v>4</c:v>
                </c:pt>
                <c:pt idx="6">
                  <c:v>4</c:v>
                </c:pt>
                <c:pt idx="7">
                  <c:v>6</c:v>
                </c:pt>
                <c:pt idx="9">
                  <c:v>6</c:v>
                </c:pt>
                <c:pt idx="10">
                  <c:v>8</c:v>
                </c:pt>
                <c:pt idx="12">
                  <c:v>8</c:v>
                </c:pt>
                <c:pt idx="13">
                  <c:v>10</c:v>
                </c:pt>
                <c:pt idx="15">
                  <c:v>10</c:v>
                </c:pt>
                <c:pt idx="16">
                  <c:v>12</c:v>
                </c:pt>
                <c:pt idx="18">
                  <c:v>12</c:v>
                </c:pt>
                <c:pt idx="19">
                  <c:v>14</c:v>
                </c:pt>
                <c:pt idx="21">
                  <c:v>14</c:v>
                </c:pt>
                <c:pt idx="22">
                  <c:v>16</c:v>
                </c:pt>
                <c:pt idx="24">
                  <c:v>16</c:v>
                </c:pt>
                <c:pt idx="25">
                  <c:v>18</c:v>
                </c:pt>
                <c:pt idx="27">
                  <c:v>18</c:v>
                </c:pt>
                <c:pt idx="28">
                  <c:v>20</c:v>
                </c:pt>
              </c:numCache>
            </c:numRef>
          </c:xVal>
          <c:yVal>
            <c:numRef>
              <c:f>'Figure 4'!$C$17:$C$45</c:f>
              <c:numCache>
                <c:formatCode>General</c:formatCode>
                <c:ptCount val="29"/>
                <c:pt idx="0">
                  <c:v>9.3333500000000014E-2</c:v>
                </c:pt>
                <c:pt idx="1">
                  <c:v>9.3333500000000014E-2</c:v>
                </c:pt>
                <c:pt idx="3">
                  <c:v>0.15999999999999998</c:v>
                </c:pt>
                <c:pt idx="4">
                  <c:v>0.15999999999999998</c:v>
                </c:pt>
                <c:pt idx="6">
                  <c:v>0.12</c:v>
                </c:pt>
                <c:pt idx="7">
                  <c:v>0.12</c:v>
                </c:pt>
                <c:pt idx="9">
                  <c:v>0.08</c:v>
                </c:pt>
                <c:pt idx="10">
                  <c:v>0.08</c:v>
                </c:pt>
                <c:pt idx="12">
                  <c:v>4.0000000000000008E-2</c:v>
                </c:pt>
                <c:pt idx="13">
                  <c:v>4.0000000000000008E-2</c:v>
                </c:pt>
                <c:pt idx="15">
                  <c:v>6.666500000000004E-3</c:v>
                </c:pt>
                <c:pt idx="16">
                  <c:v>6.666500000000004E-3</c:v>
                </c:pt>
                <c:pt idx="18">
                  <c:v>0</c:v>
                </c:pt>
                <c:pt idx="19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4E1-42CC-BA80-2B9EEF6F5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738704"/>
        <c:axId val="686733296"/>
        <c:extLst/>
      </c:scatterChart>
      <c:valAx>
        <c:axId val="686738704"/>
        <c:scaling>
          <c:orientation val="minMax"/>
          <c:max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>
                    <a:solidFill>
                      <a:schemeClr val="tx1"/>
                    </a:solidFill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6733296"/>
        <c:crosses val="autoZero"/>
        <c:crossBetween val="midCat"/>
      </c:valAx>
      <c:valAx>
        <c:axId val="686733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>
                    <a:solidFill>
                      <a:schemeClr val="tx1"/>
                    </a:solidFill>
                  </a:rPr>
                  <a:t>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673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</xdr:row>
      <xdr:rowOff>100012</xdr:rowOff>
    </xdr:from>
    <xdr:to>
      <xdr:col>12</xdr:col>
      <xdr:colOff>228600</xdr:colOff>
      <xdr:row>36</xdr:row>
      <xdr:rowOff>38100</xdr:rowOff>
    </xdr:to>
    <xdr:grpSp>
      <xdr:nvGrpSpPr>
        <xdr:cNvPr id="16" name="Gruppieren 15">
          <a:extLst>
            <a:ext uri="{FF2B5EF4-FFF2-40B4-BE49-F238E27FC236}">
              <a16:creationId xmlns:a16="http://schemas.microsoft.com/office/drawing/2014/main" id="{93BBEE37-6EB3-41DA-109B-9370332E9465}"/>
            </a:ext>
          </a:extLst>
        </xdr:cNvPr>
        <xdr:cNvGrpSpPr/>
      </xdr:nvGrpSpPr>
      <xdr:grpSpPr>
        <a:xfrm>
          <a:off x="3543300" y="481012"/>
          <a:ext cx="6057900" cy="6415088"/>
          <a:chOff x="10144125" y="328612"/>
          <a:chExt cx="6057900" cy="6415088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7E036516-C479-B84C-DFBE-8583AE049F23}"/>
              </a:ext>
            </a:extLst>
          </xdr:cNvPr>
          <xdr:cNvGrpSpPr/>
        </xdr:nvGrpSpPr>
        <xdr:grpSpPr>
          <a:xfrm>
            <a:off x="10144125" y="328612"/>
            <a:ext cx="6057900" cy="6415088"/>
            <a:chOff x="10668000" y="385762"/>
            <a:chExt cx="6057900" cy="6415088"/>
          </a:xfrm>
          <a:noFill/>
        </xdr:grpSpPr>
        <xdr:graphicFrame macro="">
          <xdr:nvGraphicFramePr>
            <xdr:cNvPr id="4" name="Diagramm 3">
              <a:extLst>
                <a:ext uri="{FF2B5EF4-FFF2-40B4-BE49-F238E27FC236}">
                  <a16:creationId xmlns:a16="http://schemas.microsoft.com/office/drawing/2014/main" id="{33EB717E-B838-49B5-9103-6A7EB55B596F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590925"/>
            <a:ext cx="6057900" cy="32099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10" name="Gruppieren 9">
              <a:extLst>
                <a:ext uri="{FF2B5EF4-FFF2-40B4-BE49-F238E27FC236}">
                  <a16:creationId xmlns:a16="http://schemas.microsoft.com/office/drawing/2014/main" id="{4D9645DB-5046-381F-4B7A-FCFE6856991A}"/>
                </a:ext>
              </a:extLst>
            </xdr:cNvPr>
            <xdr:cNvGrpSpPr/>
          </xdr:nvGrpSpPr>
          <xdr:grpSpPr>
            <a:xfrm>
              <a:off x="10672762" y="385762"/>
              <a:ext cx="6053138" cy="3214688"/>
              <a:chOff x="10672762" y="385762"/>
              <a:chExt cx="6053138" cy="3214688"/>
            </a:xfrm>
            <a:grpFill/>
          </xdr:grpSpPr>
          <xdr:graphicFrame macro="">
            <xdr:nvGraphicFramePr>
              <xdr:cNvPr id="2" name="Diagramm 1">
                <a:extLst>
                  <a:ext uri="{FF2B5EF4-FFF2-40B4-BE49-F238E27FC236}">
                    <a16:creationId xmlns:a16="http://schemas.microsoft.com/office/drawing/2014/main" id="{B81A7C33-4ED1-D128-0B1D-66466976FF9E}"/>
                  </a:ext>
                </a:extLst>
              </xdr:cNvPr>
              <xdr:cNvGraphicFramePr/>
            </xdr:nvGraphicFramePr>
            <xdr:xfrm>
              <a:off x="10672762" y="385762"/>
              <a:ext cx="6053138" cy="321468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">
            <xdr:nvSpPr>
              <xdr:cNvPr id="6" name="Geschweifte Klammer rechts 5">
                <a:extLst>
                  <a:ext uri="{FF2B5EF4-FFF2-40B4-BE49-F238E27FC236}">
                    <a16:creationId xmlns:a16="http://schemas.microsoft.com/office/drawing/2014/main" id="{948E909E-2F11-11D8-5216-DD1CA014FFF8}"/>
                  </a:ext>
                </a:extLst>
              </xdr:cNvPr>
              <xdr:cNvSpPr/>
            </xdr:nvSpPr>
            <xdr:spPr>
              <a:xfrm>
                <a:off x="12353925" y="2200275"/>
                <a:ext cx="133350" cy="828675"/>
              </a:xfrm>
              <a:prstGeom prst="rightBrace">
                <a:avLst/>
              </a:prstGeom>
              <a:grpFill/>
              <a:ln>
                <a:noFill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AT" sz="1100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7" name="Geschweifte Klammer rechts 6">
                <a:extLst>
                  <a:ext uri="{FF2B5EF4-FFF2-40B4-BE49-F238E27FC236}">
                    <a16:creationId xmlns:a16="http://schemas.microsoft.com/office/drawing/2014/main" id="{AECB15CA-2EAF-8CF9-34AF-85F356DD356D}"/>
                  </a:ext>
                </a:extLst>
              </xdr:cNvPr>
              <xdr:cNvSpPr/>
            </xdr:nvSpPr>
            <xdr:spPr>
              <a:xfrm>
                <a:off x="13468349" y="1876426"/>
                <a:ext cx="123825" cy="323850"/>
              </a:xfrm>
              <a:prstGeom prst="rightBrace">
                <a:avLst/>
              </a:prstGeom>
              <a:grpFill/>
              <a:ln>
                <a:noFill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AT" sz="1100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8" name="Geschweifte Klammer rechts 7">
                <a:extLst>
                  <a:ext uri="{FF2B5EF4-FFF2-40B4-BE49-F238E27FC236}">
                    <a16:creationId xmlns:a16="http://schemas.microsoft.com/office/drawing/2014/main" id="{7FB4B5ED-3AAF-2DBD-568E-F90F8A244E9C}"/>
                  </a:ext>
                </a:extLst>
              </xdr:cNvPr>
              <xdr:cNvSpPr/>
            </xdr:nvSpPr>
            <xdr:spPr>
              <a:xfrm>
                <a:off x="14563725" y="1647826"/>
                <a:ext cx="104776" cy="228599"/>
              </a:xfrm>
              <a:prstGeom prst="rightBrace">
                <a:avLst/>
              </a:prstGeom>
              <a:grpFill/>
              <a:ln>
                <a:noFill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AT" sz="1100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9" name="Geschweifte Klammer rechts 8">
                <a:extLst>
                  <a:ext uri="{FF2B5EF4-FFF2-40B4-BE49-F238E27FC236}">
                    <a16:creationId xmlns:a16="http://schemas.microsoft.com/office/drawing/2014/main" id="{548671E2-B1EE-4FE5-9ADC-6B8B92B8138B}"/>
                  </a:ext>
                </a:extLst>
              </xdr:cNvPr>
              <xdr:cNvSpPr/>
            </xdr:nvSpPr>
            <xdr:spPr>
              <a:xfrm>
                <a:off x="15687675" y="876301"/>
                <a:ext cx="104775" cy="761999"/>
              </a:xfrm>
              <a:prstGeom prst="rightBrace">
                <a:avLst/>
              </a:prstGeom>
              <a:grpFill/>
              <a:ln>
                <a:noFill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AT" sz="1100">
                  <a:solidFill>
                    <a:schemeClr val="tx1"/>
                  </a:solidFill>
                </a:endParaRPr>
              </a:p>
            </xdr:txBody>
          </xdr:sp>
        </xdr:grpSp>
      </xdr:grpSp>
      <xdr:sp macro="" textlink="">
        <xdr:nvSpPr>
          <xdr:cNvPr id="12" name="Geschweifte Klammer rechts 11">
            <a:extLst>
              <a:ext uri="{FF2B5EF4-FFF2-40B4-BE49-F238E27FC236}">
                <a16:creationId xmlns:a16="http://schemas.microsoft.com/office/drawing/2014/main" id="{66ECB4A4-F3BB-022A-BA23-8826E486CE5E}"/>
              </a:ext>
            </a:extLst>
          </xdr:cNvPr>
          <xdr:cNvSpPr/>
        </xdr:nvSpPr>
        <xdr:spPr>
          <a:xfrm>
            <a:off x="11834446" y="2146788"/>
            <a:ext cx="93642" cy="827943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AT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Geschweifte Klammer rechts 12">
            <a:extLst>
              <a:ext uri="{FF2B5EF4-FFF2-40B4-BE49-F238E27FC236}">
                <a16:creationId xmlns:a16="http://schemas.microsoft.com/office/drawing/2014/main" id="{7436F6D3-F158-5291-E71C-F74388C96FA6}"/>
              </a:ext>
            </a:extLst>
          </xdr:cNvPr>
          <xdr:cNvSpPr/>
        </xdr:nvSpPr>
        <xdr:spPr>
          <a:xfrm>
            <a:off x="12940990" y="1830836"/>
            <a:ext cx="99896" cy="311127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AT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Geschweifte Klammer rechts 13">
            <a:extLst>
              <a:ext uri="{FF2B5EF4-FFF2-40B4-BE49-F238E27FC236}">
                <a16:creationId xmlns:a16="http://schemas.microsoft.com/office/drawing/2014/main" id="{90C70F1A-F9D0-8BC0-01FC-DA52FE4468E6}"/>
              </a:ext>
            </a:extLst>
          </xdr:cNvPr>
          <xdr:cNvSpPr/>
        </xdr:nvSpPr>
        <xdr:spPr>
          <a:xfrm>
            <a:off x="14046819" y="1579935"/>
            <a:ext cx="102220" cy="246078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AT" sz="1100">
              <a:solidFill>
                <a:schemeClr val="tx1"/>
              </a:solidFill>
            </a:endParaRPr>
          </a:p>
        </xdr:txBody>
      </xdr:sp>
      <xdr:sp macro="" textlink="">
        <xdr:nvSpPr>
          <xdr:cNvPr id="15" name="Geschweifte Klammer rechts 14">
            <a:extLst>
              <a:ext uri="{FF2B5EF4-FFF2-40B4-BE49-F238E27FC236}">
                <a16:creationId xmlns:a16="http://schemas.microsoft.com/office/drawing/2014/main" id="{D1786698-79F0-D157-459C-71B951F476A0}"/>
              </a:ext>
            </a:extLst>
          </xdr:cNvPr>
          <xdr:cNvSpPr/>
        </xdr:nvSpPr>
        <xdr:spPr>
          <a:xfrm>
            <a:off x="15152647" y="827227"/>
            <a:ext cx="116159" cy="743236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AT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0.1609</cdr:x>
      <cdr:y>0.46983</cdr:y>
    </cdr:from>
    <cdr:to>
      <cdr:x>0.20964</cdr:x>
      <cdr:y>0.55885</cdr:y>
    </cdr:to>
    <cdr:sp macro="" textlink="">
      <cdr:nvSpPr>
        <cdr:cNvPr id="2" name="Textfeld 1">
          <a:extLst xmlns:a="http://schemas.openxmlformats.org/drawingml/2006/main">
            <a:ext uri="{FF2B5EF4-FFF2-40B4-BE49-F238E27FC236}">
              <a16:creationId xmlns:a16="http://schemas.microsoft.com/office/drawing/2014/main" id="{6A09FD2C-174D-E2A3-D6BA-9C3FA62EF8A0}"/>
            </a:ext>
          </a:extLst>
        </cdr:cNvPr>
        <cdr:cNvSpPr txBox="1"/>
      </cdr:nvSpPr>
      <cdr:spPr>
        <a:xfrm xmlns:a="http://schemas.openxmlformats.org/drawingml/2006/main">
          <a:off x="974725" y="1508125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100"/>
            <a:t>A1</a:t>
          </a:r>
        </a:p>
      </cdr:txBody>
    </cdr:sp>
  </cdr:relSizeAnchor>
  <cdr:relSizeAnchor xmlns:cdr="http://schemas.openxmlformats.org/drawingml/2006/chartDrawing">
    <cdr:from>
      <cdr:x>0.34329</cdr:x>
      <cdr:y>0.67458</cdr:y>
    </cdr:from>
    <cdr:to>
      <cdr:x>0.39203</cdr:x>
      <cdr:y>0.7636</cdr:y>
    </cdr:to>
    <cdr:sp macro="" textlink="">
      <cdr:nvSpPr>
        <cdr:cNvPr id="3" name="Textfeld 1">
          <a:extLst xmlns:a="http://schemas.openxmlformats.org/drawingml/2006/main">
            <a:ext uri="{FF2B5EF4-FFF2-40B4-BE49-F238E27FC236}">
              <a16:creationId xmlns:a16="http://schemas.microsoft.com/office/drawing/2014/main" id="{15DF5EB9-F19B-5DF1-6137-42555FCE68D9}"/>
            </a:ext>
          </a:extLst>
        </cdr:cNvPr>
        <cdr:cNvSpPr txBox="1"/>
      </cdr:nvSpPr>
      <cdr:spPr>
        <a:xfrm xmlns:a="http://schemas.openxmlformats.org/drawingml/2006/main">
          <a:off x="2079625" y="2165350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100"/>
            <a:t>A2</a:t>
          </a:r>
        </a:p>
      </cdr:txBody>
    </cdr:sp>
  </cdr:relSizeAnchor>
  <cdr:relSizeAnchor xmlns:cdr="http://schemas.openxmlformats.org/drawingml/2006/chartDrawing">
    <cdr:from>
      <cdr:x>0.52883</cdr:x>
      <cdr:y>0.70425</cdr:y>
    </cdr:from>
    <cdr:to>
      <cdr:x>0.57757</cdr:x>
      <cdr:y>0.79327</cdr:y>
    </cdr:to>
    <cdr:sp macro="" textlink="">
      <cdr:nvSpPr>
        <cdr:cNvPr id="4" name="Textfeld 1">
          <a:extLst xmlns:a="http://schemas.openxmlformats.org/drawingml/2006/main">
            <a:ext uri="{FF2B5EF4-FFF2-40B4-BE49-F238E27FC236}">
              <a16:creationId xmlns:a16="http://schemas.microsoft.com/office/drawing/2014/main" id="{FB527EF7-E8DE-AF24-E1F2-0E6BB5270DE2}"/>
            </a:ext>
          </a:extLst>
        </cdr:cNvPr>
        <cdr:cNvSpPr txBox="1"/>
      </cdr:nvSpPr>
      <cdr:spPr>
        <a:xfrm xmlns:a="http://schemas.openxmlformats.org/drawingml/2006/main">
          <a:off x="3203575" y="2260600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100"/>
            <a:t>A3</a:t>
          </a:r>
        </a:p>
      </cdr:txBody>
    </cdr:sp>
  </cdr:relSizeAnchor>
  <cdr:relSizeAnchor xmlns:cdr="http://schemas.openxmlformats.org/drawingml/2006/chartDrawing">
    <cdr:from>
      <cdr:x>0.70964</cdr:x>
      <cdr:y>0.51434</cdr:y>
    </cdr:from>
    <cdr:to>
      <cdr:x>0.75839</cdr:x>
      <cdr:y>0.60336</cdr:y>
    </cdr:to>
    <cdr:sp macro="" textlink="">
      <cdr:nvSpPr>
        <cdr:cNvPr id="5" name="Textfeld 1">
          <a:extLst xmlns:a="http://schemas.openxmlformats.org/drawingml/2006/main">
            <a:ext uri="{FF2B5EF4-FFF2-40B4-BE49-F238E27FC236}">
              <a16:creationId xmlns:a16="http://schemas.microsoft.com/office/drawing/2014/main" id="{D45E3ADC-5A9F-203E-BEF2-376B9C8CFCE3}"/>
            </a:ext>
          </a:extLst>
        </cdr:cNvPr>
        <cdr:cNvSpPr txBox="1"/>
      </cdr:nvSpPr>
      <cdr:spPr>
        <a:xfrm xmlns:a="http://schemas.openxmlformats.org/drawingml/2006/main">
          <a:off x="4298950" y="1651000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AT" sz="1100"/>
            <a:t>A4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0.29504</cdr:x>
      <cdr:y>0.65037</cdr:y>
    </cdr:from>
    <cdr:to>
      <cdr:x>0.34382</cdr:x>
      <cdr:y>0.73926</cdr:y>
    </cdr:to>
    <cdr:sp macro="" textlink="">
      <cdr:nvSpPr>
        <cdr:cNvPr id="2" name="Textfeld 1">
          <a:extLst xmlns:a="http://schemas.openxmlformats.org/drawingml/2006/main">
            <a:ext uri="{FF2B5EF4-FFF2-40B4-BE49-F238E27FC236}">
              <a16:creationId xmlns:a16="http://schemas.microsoft.com/office/drawing/2014/main" id="{4417F612-708D-0DB3-6727-F7DE5B57B2FC}"/>
            </a:ext>
          </a:extLst>
        </cdr:cNvPr>
        <cdr:cNvSpPr txBox="1"/>
      </cdr:nvSpPr>
      <cdr:spPr>
        <a:xfrm xmlns:a="http://schemas.openxmlformats.org/drawingml/2006/main">
          <a:off x="1785938" y="2090738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e-AT" sz="1100"/>
            <a:t>A1</a:t>
          </a:r>
        </a:p>
      </cdr:txBody>
    </cdr:sp>
  </cdr:relSizeAnchor>
  <cdr:relSizeAnchor xmlns:cdr="http://schemas.openxmlformats.org/drawingml/2006/chartDrawing">
    <cdr:from>
      <cdr:x>0.47443</cdr:x>
      <cdr:y>0.47556</cdr:y>
    </cdr:from>
    <cdr:to>
      <cdr:x>0.52321</cdr:x>
      <cdr:y>0.56444</cdr:y>
    </cdr:to>
    <cdr:sp macro="" textlink="">
      <cdr:nvSpPr>
        <cdr:cNvPr id="3" name="Textfeld 2">
          <a:extLst xmlns:a="http://schemas.openxmlformats.org/drawingml/2006/main">
            <a:ext uri="{FF2B5EF4-FFF2-40B4-BE49-F238E27FC236}">
              <a16:creationId xmlns:a16="http://schemas.microsoft.com/office/drawing/2014/main" id="{E285A733-5D71-0B37-562D-A6F0951D73A8}"/>
            </a:ext>
          </a:extLst>
        </cdr:cNvPr>
        <cdr:cNvSpPr txBox="1"/>
      </cdr:nvSpPr>
      <cdr:spPr>
        <a:xfrm xmlns:a="http://schemas.openxmlformats.org/drawingml/2006/main">
          <a:off x="2871788" y="1528763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e-AT" sz="1100"/>
            <a:t>A2</a:t>
          </a:r>
        </a:p>
      </cdr:txBody>
    </cdr:sp>
  </cdr:relSizeAnchor>
  <cdr:relSizeAnchor xmlns:cdr="http://schemas.openxmlformats.org/drawingml/2006/chartDrawing">
    <cdr:from>
      <cdr:x>0.65067</cdr:x>
      <cdr:y>0.38667</cdr:y>
    </cdr:from>
    <cdr:to>
      <cdr:x>0.69945</cdr:x>
      <cdr:y>0.47556</cdr:y>
    </cdr:to>
    <cdr:sp macro="" textlink="">
      <cdr:nvSpPr>
        <cdr:cNvPr id="4" name="Textfeld 3">
          <a:extLst xmlns:a="http://schemas.openxmlformats.org/drawingml/2006/main">
            <a:ext uri="{FF2B5EF4-FFF2-40B4-BE49-F238E27FC236}">
              <a16:creationId xmlns:a16="http://schemas.microsoft.com/office/drawing/2014/main" id="{431EB19D-A64B-8F5D-8BC2-43D6EBE2EDFE}"/>
            </a:ext>
          </a:extLst>
        </cdr:cNvPr>
        <cdr:cNvSpPr txBox="1"/>
      </cdr:nvSpPr>
      <cdr:spPr>
        <a:xfrm xmlns:a="http://schemas.openxmlformats.org/drawingml/2006/main">
          <a:off x="3938588" y="1243013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e-AT" sz="1100"/>
            <a:t>A3</a:t>
          </a:r>
        </a:p>
      </cdr:txBody>
    </cdr:sp>
  </cdr:relSizeAnchor>
  <cdr:relSizeAnchor xmlns:cdr="http://schemas.openxmlformats.org/drawingml/2006/chartDrawing">
    <cdr:from>
      <cdr:x>0.83635</cdr:x>
      <cdr:y>0.22963</cdr:y>
    </cdr:from>
    <cdr:to>
      <cdr:x>0.88513</cdr:x>
      <cdr:y>0.31852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80940AB8-9725-5A3A-1A8B-620982C1616D}"/>
            </a:ext>
          </a:extLst>
        </cdr:cNvPr>
        <cdr:cNvSpPr txBox="1"/>
      </cdr:nvSpPr>
      <cdr:spPr>
        <a:xfrm xmlns:a="http://schemas.openxmlformats.org/drawingml/2006/main">
          <a:off x="5062538" y="738188"/>
          <a:ext cx="2952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de-AT" sz="1100"/>
            <a:t>A4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761999</xdr:colOff>
      <xdr:row>4</xdr:row>
      <xdr:rowOff>4761</xdr:rowOff>
    </xdr:from>
    <xdr:to>
      <xdr:col>18</xdr:col>
      <xdr:colOff>588064</xdr:colOff>
      <xdr:row>18</xdr:row>
      <xdr:rowOff>80962</xdr:rowOff>
    </xdr:to>
    <xdr:grpSp>
      <xdr:nvGrpSpPr>
        <xdr:cNvPr id="23" name="Gruppieren 22">
          <a:extLst>
            <a:ext uri="{FF2B5EF4-FFF2-40B4-BE49-F238E27FC236}">
              <a16:creationId xmlns:a16="http://schemas.microsoft.com/office/drawing/2014/main" id="{02FD1451-6770-9281-7187-3E2829ABE1C4}"/>
            </a:ext>
          </a:extLst>
        </xdr:cNvPr>
        <xdr:cNvGrpSpPr/>
      </xdr:nvGrpSpPr>
      <xdr:grpSpPr>
        <a:xfrm>
          <a:off x="3047999" y="766761"/>
          <a:ext cx="11256065" cy="2743201"/>
          <a:chOff x="3809999" y="766761"/>
          <a:chExt cx="11256065" cy="2743201"/>
        </a:xfrm>
      </xdr:grpSpPr>
      <xdr:grpSp>
        <xdr:nvGrpSpPr>
          <xdr:cNvPr id="2" name="Gruppieren 1">
            <a:extLst>
              <a:ext uri="{FF2B5EF4-FFF2-40B4-BE49-F238E27FC236}">
                <a16:creationId xmlns:a16="http://schemas.microsoft.com/office/drawing/2014/main" id="{47BAA480-1264-4019-8A33-F7F5ABE3C8F8}"/>
              </a:ext>
            </a:extLst>
          </xdr:cNvPr>
          <xdr:cNvGrpSpPr/>
        </xdr:nvGrpSpPr>
        <xdr:grpSpPr>
          <a:xfrm>
            <a:off x="3809999" y="766761"/>
            <a:ext cx="11256065" cy="2743201"/>
            <a:chOff x="3809999" y="766761"/>
            <a:chExt cx="11256065" cy="2743201"/>
          </a:xfrm>
        </xdr:grpSpPr>
        <xdr:grpSp>
          <xdr:nvGrpSpPr>
            <xdr:cNvPr id="3" name="Gruppieren 2">
              <a:extLst>
                <a:ext uri="{FF2B5EF4-FFF2-40B4-BE49-F238E27FC236}">
                  <a16:creationId xmlns:a16="http://schemas.microsoft.com/office/drawing/2014/main" id="{85E35055-05F9-06BC-88E4-F79C7BE78764}"/>
                </a:ext>
              </a:extLst>
            </xdr:cNvPr>
            <xdr:cNvGrpSpPr/>
          </xdr:nvGrpSpPr>
          <xdr:grpSpPr>
            <a:xfrm>
              <a:off x="3809999" y="766761"/>
              <a:ext cx="11220451" cy="2743201"/>
              <a:chOff x="3809999" y="766761"/>
              <a:chExt cx="11220451" cy="2743201"/>
            </a:xfrm>
          </xdr:grpSpPr>
          <xdr:graphicFrame macro="">
            <xdr:nvGraphicFramePr>
              <xdr:cNvPr id="10" name="Diagramm 9">
                <a:extLst>
                  <a:ext uri="{FF2B5EF4-FFF2-40B4-BE49-F238E27FC236}">
                    <a16:creationId xmlns:a16="http://schemas.microsoft.com/office/drawing/2014/main" id="{2E953FFA-8C7E-8E36-BB04-1CB8EF1178C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809999" y="766762"/>
              <a:ext cx="3743325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11" name="Diagramm 10">
                <a:extLst>
                  <a:ext uri="{FF2B5EF4-FFF2-40B4-BE49-F238E27FC236}">
                    <a16:creationId xmlns:a16="http://schemas.microsoft.com/office/drawing/2014/main" id="{739132A3-FD82-2C01-560B-34FD7B014BE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553325" y="766762"/>
              <a:ext cx="3743325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12" name="Diagramm 11">
                <a:extLst>
                  <a:ext uri="{FF2B5EF4-FFF2-40B4-BE49-F238E27FC236}">
                    <a16:creationId xmlns:a16="http://schemas.microsoft.com/office/drawing/2014/main" id="{F299D3B8-3593-6B41-9BE8-104D7E26DF1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287125" y="766761"/>
              <a:ext cx="3743325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pic>
            <xdr:nvPicPr>
              <xdr:cNvPr id="14" name="Grafik 13">
                <a:extLst>
                  <a:ext uri="{FF2B5EF4-FFF2-40B4-BE49-F238E27FC236}">
                    <a16:creationId xmlns:a16="http://schemas.microsoft.com/office/drawing/2014/main" id="{8C3AA982-5772-816B-76B6-55811E0DB3D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/>
              <a:stretch>
                <a:fillRect/>
              </a:stretch>
            </xdr:blipFill>
            <xdr:spPr>
              <a:xfrm>
                <a:off x="7414649" y="3194247"/>
                <a:ext cx="142857" cy="133333"/>
              </a:xfrm>
              <a:prstGeom prst="rect">
                <a:avLst/>
              </a:prstGeom>
            </xdr:spPr>
          </xdr:pic>
          <xdr:pic>
            <xdr:nvPicPr>
              <xdr:cNvPr id="15" name="Grafik 14">
                <a:extLst>
                  <a:ext uri="{FF2B5EF4-FFF2-40B4-BE49-F238E27FC236}">
                    <a16:creationId xmlns:a16="http://schemas.microsoft.com/office/drawing/2014/main" id="{1BF93489-3A3C-F4AD-B8D4-0B8A18529D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/>
              <a:stretch>
                <a:fillRect/>
              </a:stretch>
            </xdr:blipFill>
            <xdr:spPr>
              <a:xfrm>
                <a:off x="9586104" y="3211585"/>
                <a:ext cx="84857" cy="98168"/>
              </a:xfrm>
              <a:prstGeom prst="rect">
                <a:avLst/>
              </a:prstGeom>
            </xdr:spPr>
          </xdr:pic>
        </xdr:grpSp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4" name="Textfeld 3">
                  <a:extLst>
                    <a:ext uri="{FF2B5EF4-FFF2-40B4-BE49-F238E27FC236}">
                      <a16:creationId xmlns:a16="http://schemas.microsoft.com/office/drawing/2014/main" id="{19ACA4C3-4C96-FB35-BB3D-6761D6B87514}"/>
                    </a:ext>
                  </a:extLst>
                </xdr:cNvPr>
                <xdr:cNvSpPr txBox="1"/>
              </xdr:nvSpPr>
              <xdr:spPr>
                <a:xfrm rot="16200000">
                  <a:off x="3158989" y="1946410"/>
                  <a:ext cx="1721123" cy="2667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acc>
                          <m:accPr>
                            <m:chr m:val="̇"/>
                            <m:ctrlPr>
                              <a:rPr lang="de-AT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</m:acc>
                        <m:d>
                          <m:dPr>
                            <m:ctrlP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e>
                        </m:d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acc>
                          <m:accPr>
                            <m:chr m:val="̇"/>
                            <m:ctrlPr>
                              <a:rPr lang="de-AT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</m:acc>
                        <m:d>
                          <m:dPr>
                            <m:ctrlP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𝜏</m:t>
                            </m:r>
                          </m:e>
                        </m:d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≡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𝑑𝑒𝑛𝑠𝑖𝑡𝑦</m:t>
                        </m:r>
                      </m:oMath>
                    </m:oMathPara>
                  </a14:m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Choice>
          <mc:Fallback xmlns="">
            <xdr:sp macro="" textlink="">
              <xdr:nvSpPr>
                <xdr:cNvPr id="4" name="Textfeld 3">
                  <a:extLst>
                    <a:ext uri="{FF2B5EF4-FFF2-40B4-BE49-F238E27FC236}">
                      <a16:creationId xmlns:a16="http://schemas.microsoft.com/office/drawing/2014/main" id="{19ACA4C3-4C96-FB35-BB3D-6761D6B87514}"/>
                    </a:ext>
                  </a:extLst>
                </xdr:cNvPr>
                <xdr:cNvSpPr txBox="1"/>
              </xdr:nvSpPr>
              <xdr:spPr>
                <a:xfrm rot="16200000">
                  <a:off x="3158989" y="1946410"/>
                  <a:ext cx="1721123" cy="2667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US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𝐼</a:t>
                  </a:r>
                  <a:r>
                    <a:rPr lang="de-AT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 ̇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(𝑡),</a:t>
                  </a:r>
                  <a:r>
                    <a:rPr lang="en-US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𝐼</a:t>
                  </a:r>
                  <a:r>
                    <a:rPr lang="de-AT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 ̇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(𝜏)  </a:t>
                  </a:r>
                  <a:r>
                    <a:rPr lang="en-US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≡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𝑑𝑒𝑛𝑠𝑖𝑡𝑦</a:t>
                  </a:r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5" name="Textfeld 4">
                  <a:extLst>
                    <a:ext uri="{FF2B5EF4-FFF2-40B4-BE49-F238E27FC236}">
                      <a16:creationId xmlns:a16="http://schemas.microsoft.com/office/drawing/2014/main" id="{0BE13697-3882-5A96-7417-E90F1FF87E62}"/>
                    </a:ext>
                  </a:extLst>
                </xdr:cNvPr>
                <xdr:cNvSpPr txBox="1"/>
              </xdr:nvSpPr>
              <xdr:spPr>
                <a:xfrm rot="16200000">
                  <a:off x="6555684" y="1950141"/>
                  <a:ext cx="2414382" cy="2667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d>
                          <m:dPr>
                            <m:ctrlP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</m:d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r>
                          <a:rPr lang="de-AT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𝑑𝑒𝑛𝑠𝑖𝑡𝑦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𝐿</m:t>
                        </m:r>
                        <m:d>
                          <m:dPr>
                            <m:ctrlP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</m:d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𝑐𝑢𝑚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. 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𝑝𝑟𝑜𝑏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.</m:t>
                        </m:r>
                      </m:oMath>
                    </m:oMathPara>
                  </a14:m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Choice>
          <mc:Fallback xmlns="">
            <xdr:sp macro="" textlink="">
              <xdr:nvSpPr>
                <xdr:cNvPr id="5" name="Textfeld 4">
                  <a:extLst>
                    <a:ext uri="{FF2B5EF4-FFF2-40B4-BE49-F238E27FC236}">
                      <a16:creationId xmlns:a16="http://schemas.microsoft.com/office/drawing/2014/main" id="{0BE13697-3882-5A96-7417-E90F1FF87E62}"/>
                    </a:ext>
                  </a:extLst>
                </xdr:cNvPr>
                <xdr:cNvSpPr txBox="1"/>
              </xdr:nvSpPr>
              <xdr:spPr>
                <a:xfrm rot="16200000">
                  <a:off x="6555684" y="1950141"/>
                  <a:ext cx="2414382" cy="2667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𝑙(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𝜏)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−</a:t>
                  </a:r>
                  <a:r>
                    <a:rPr lang="de-AT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𝑑𝑒𝑛𝑠𝑖𝑡𝑦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,𝐿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(𝜏)−𝑐𝑢𝑚. 𝑝𝑟𝑜𝑏.</a:t>
                  </a:r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6" name="Textfeld 5">
                  <a:extLst>
                    <a:ext uri="{FF2B5EF4-FFF2-40B4-BE49-F238E27FC236}">
                      <a16:creationId xmlns:a16="http://schemas.microsoft.com/office/drawing/2014/main" id="{1AAF261C-A83B-A8B3-A9E6-1922F097D02F}"/>
                    </a:ext>
                  </a:extLst>
                </xdr:cNvPr>
                <xdr:cNvSpPr txBox="1"/>
              </xdr:nvSpPr>
              <xdr:spPr>
                <a:xfrm rot="16200000">
                  <a:off x="10699059" y="1969191"/>
                  <a:ext cx="1576182" cy="24765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acc>
                          <m:accPr>
                            <m:chr m:val="̇"/>
                            <m:ctrlPr>
                              <a:rPr lang="de-AT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</m:t>
                            </m:r>
                          </m:e>
                        </m:acc>
                        <m:d>
                          <m:dPr>
                            <m:ctrlP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𝑡</m:t>
                            </m:r>
                          </m:e>
                        </m:d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acc>
                          <m:accPr>
                            <m:chr m:val="̇"/>
                            <m:ctrlPr>
                              <a:rPr lang="de-AT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𝑂</m:t>
                            </m:r>
                          </m:e>
                        </m:acc>
                        <m:d>
                          <m:dPr>
                            <m:ctrlP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de-AT" sz="1100" b="0" i="1" baseline="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𝜏</m:t>
                            </m:r>
                          </m:e>
                        </m:d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≡</m:t>
                        </m:r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𝑑𝑒𝑛𝑠𝑖𝑡𝑦</m:t>
                        </m:r>
                      </m:oMath>
                    </m:oMathPara>
                  </a14:m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Choice>
          <mc:Fallback xmlns="">
            <xdr:sp macro="" textlink="">
              <xdr:nvSpPr>
                <xdr:cNvPr id="6" name="Textfeld 5">
                  <a:extLst>
                    <a:ext uri="{FF2B5EF4-FFF2-40B4-BE49-F238E27FC236}">
                      <a16:creationId xmlns:a16="http://schemas.microsoft.com/office/drawing/2014/main" id="{1AAF261C-A83B-A8B3-A9E6-1922F097D02F}"/>
                    </a:ext>
                  </a:extLst>
                </xdr:cNvPr>
                <xdr:cNvSpPr txBox="1"/>
              </xdr:nvSpPr>
              <xdr:spPr>
                <a:xfrm rot="16200000">
                  <a:off x="10699059" y="1969191"/>
                  <a:ext cx="1576182" cy="24765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US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𝑂</a:t>
                  </a:r>
                  <a:r>
                    <a:rPr lang="de-AT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 ̇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(𝑡),</a:t>
                  </a:r>
                  <a:r>
                    <a:rPr lang="en-US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𝑂</a:t>
                  </a:r>
                  <a:r>
                    <a:rPr lang="de-AT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 ̇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(𝜏)  </a:t>
                  </a:r>
                  <a:r>
                    <a:rPr lang="en-US" sz="110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≡</a:t>
                  </a: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𝑑𝑒𝑛𝑠𝑖𝑡𝑦</a:t>
                  </a:r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7" name="Textfeld 6">
                  <a:extLst>
                    <a:ext uri="{FF2B5EF4-FFF2-40B4-BE49-F238E27FC236}">
                      <a16:creationId xmlns:a16="http://schemas.microsoft.com/office/drawing/2014/main" id="{8430132D-7ED9-7363-F84D-1DF75F362BF0}"/>
                    </a:ext>
                  </a:extLst>
                </xdr:cNvPr>
                <xdr:cNvSpPr txBox="1"/>
              </xdr:nvSpPr>
              <xdr:spPr>
                <a:xfrm>
                  <a:off x="7449796" y="2953577"/>
                  <a:ext cx="117612" cy="48246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oMath>
                      <m:oMath xmlns:m="http://schemas.openxmlformats.org/officeDocument/2006/math"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𝜏</m:t>
                        </m:r>
                      </m:oMath>
                    </m:oMathPara>
                  </a14:m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/>
                    <a:t> </a:t>
                  </a:r>
                </a:p>
              </xdr:txBody>
            </xdr:sp>
          </mc:Choice>
          <mc:Fallback xmlns="">
            <xdr:sp macro="" textlink="">
              <xdr:nvSpPr>
                <xdr:cNvPr id="7" name="Textfeld 6">
                  <a:extLst>
                    <a:ext uri="{FF2B5EF4-FFF2-40B4-BE49-F238E27FC236}">
                      <a16:creationId xmlns:a16="http://schemas.microsoft.com/office/drawing/2014/main" id="{8430132D-7ED9-7363-F84D-1DF75F362BF0}"/>
                    </a:ext>
                  </a:extLst>
                </xdr:cNvPr>
                <xdr:cNvSpPr txBox="1"/>
              </xdr:nvSpPr>
              <xdr:spPr>
                <a:xfrm>
                  <a:off x="7449796" y="2953577"/>
                  <a:ext cx="117612" cy="48246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𝑡</a:t>
                  </a:r>
                  <a:br>
                    <a:rPr lang="de-AT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</a:b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𝜏</a:t>
                  </a:r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/>
                    <a:t> </a:t>
                  </a: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8" name="Textfeld 7">
                  <a:extLst>
                    <a:ext uri="{FF2B5EF4-FFF2-40B4-BE49-F238E27FC236}">
                      <a16:creationId xmlns:a16="http://schemas.microsoft.com/office/drawing/2014/main" id="{1F7821B3-CD53-B951-2B9E-536560A37A74}"/>
                    </a:ext>
                  </a:extLst>
                </xdr:cNvPr>
                <xdr:cNvSpPr txBox="1"/>
              </xdr:nvSpPr>
              <xdr:spPr>
                <a:xfrm>
                  <a:off x="9363075" y="3133725"/>
                  <a:ext cx="559075" cy="273328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oMath>
                    </m:oMathPara>
                  </a14:m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Choice>
          <mc:Fallback xmlns="">
            <xdr:sp macro="" textlink="">
              <xdr:nvSpPr>
                <xdr:cNvPr id="8" name="Textfeld 7">
                  <a:extLst>
                    <a:ext uri="{FF2B5EF4-FFF2-40B4-BE49-F238E27FC236}">
                      <a16:creationId xmlns:a16="http://schemas.microsoft.com/office/drawing/2014/main" id="{1F7821B3-CD53-B951-2B9E-536560A37A74}"/>
                    </a:ext>
                  </a:extLst>
                </xdr:cNvPr>
                <xdr:cNvSpPr txBox="1"/>
              </xdr:nvSpPr>
              <xdr:spPr>
                <a:xfrm>
                  <a:off x="9363075" y="3133725"/>
                  <a:ext cx="559075" cy="273328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𝜏</a:t>
                  </a:r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lang="de-AT" sz="1100"/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9" name="Textfeld 8">
                  <a:extLst>
                    <a:ext uri="{FF2B5EF4-FFF2-40B4-BE49-F238E27FC236}">
                      <a16:creationId xmlns:a16="http://schemas.microsoft.com/office/drawing/2014/main" id="{91335FD2-3926-96AD-A208-5B3D600E2BCB}"/>
                    </a:ext>
                  </a:extLst>
                </xdr:cNvPr>
                <xdr:cNvSpPr txBox="1"/>
              </xdr:nvSpPr>
              <xdr:spPr>
                <a:xfrm>
                  <a:off x="14918637" y="2945294"/>
                  <a:ext cx="147427" cy="48246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l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</m:t>
                        </m:r>
                      </m:oMath>
                      <m:oMath xmlns:m="http://schemas.openxmlformats.org/officeDocument/2006/math">
                        <m:r>
                          <a:rPr lang="de-AT" sz="1100" b="0" i="1" baseline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𝜏</m:t>
                        </m:r>
                      </m:oMath>
                    </m:oMathPara>
                  </a14:m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algn="l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/>
                    <a:t> </a:t>
                  </a:r>
                </a:p>
              </xdr:txBody>
            </xdr:sp>
          </mc:Choice>
          <mc:Fallback xmlns="">
            <xdr:sp macro="" textlink="">
              <xdr:nvSpPr>
                <xdr:cNvPr id="9" name="Textfeld 8">
                  <a:extLst>
                    <a:ext uri="{FF2B5EF4-FFF2-40B4-BE49-F238E27FC236}">
                      <a16:creationId xmlns:a16="http://schemas.microsoft.com/office/drawing/2014/main" id="{91335FD2-3926-96AD-A208-5B3D600E2BCB}"/>
                    </a:ext>
                  </a:extLst>
                </xdr:cNvPr>
                <xdr:cNvSpPr txBox="1"/>
              </xdr:nvSpPr>
              <xdr:spPr>
                <a:xfrm>
                  <a:off x="14918637" y="2945294"/>
                  <a:ext cx="147427" cy="48246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l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𝑡</a:t>
                  </a:r>
                  <a:br>
                    <a:rPr lang="de-AT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</a:br>
                  <a:r>
                    <a:rPr lang="de-AT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a:t>𝜏</a:t>
                  </a:r>
                  <a:endParaRPr lang="de-AT" sz="1100" b="0" baseline="0">
                    <a:solidFill>
                      <a:schemeClr val="dk1"/>
                    </a:solidFill>
                    <a:effectLst/>
                    <a:ea typeface="Cambria Math" panose="02040503050406030204" pitchFamily="18" charset="0"/>
                    <a:cs typeface="+mn-cs"/>
                  </a:endParaRPr>
                </a:p>
                <a:p>
                  <a:pPr marL="0" marR="0" lvl="0" indent="0" algn="l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de-AT" sz="1100"/>
                    <a:t> </a:t>
                  </a:r>
                </a:p>
              </xdr:txBody>
            </xdr:sp>
          </mc:Fallback>
        </mc:AlternateContent>
      </xdr:grpSp>
      <xdr:pic>
        <xdr:nvPicPr>
          <xdr:cNvPr id="20" name="Grafik 19">
            <a:extLst>
              <a:ext uri="{FF2B5EF4-FFF2-40B4-BE49-F238E27FC236}">
                <a16:creationId xmlns:a16="http://schemas.microsoft.com/office/drawing/2014/main" id="{72796732-DB4A-4D4D-36FA-453ABC9D77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4859926" y="3191468"/>
            <a:ext cx="2599200" cy="135729"/>
          </a:xfrm>
          <a:prstGeom prst="rect">
            <a:avLst/>
          </a:prstGeom>
        </xdr:spPr>
      </xdr:pic>
      <xdr:pic>
        <xdr:nvPicPr>
          <xdr:cNvPr id="22" name="Grafik 21">
            <a:extLst>
              <a:ext uri="{FF2B5EF4-FFF2-40B4-BE49-F238E27FC236}">
                <a16:creationId xmlns:a16="http://schemas.microsoft.com/office/drawing/2014/main" id="{7D7F4715-B1E8-4347-9161-8D051A4A1A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2339204" y="3182217"/>
            <a:ext cx="2599200" cy="135729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0.96375</cdr:x>
      <cdr:y>0.88205</cdr:y>
    </cdr:from>
    <cdr:to>
      <cdr:x>1</cdr:x>
      <cdr:y>0.92822</cdr:y>
    </cdr:to>
    <cdr:pic>
      <cdr:nvPicPr>
        <cdr:cNvPr id="3" name="Grafik 2">
          <a:extLst xmlns:a="http://schemas.openxmlformats.org/drawingml/2006/main">
            <a:ext uri="{FF2B5EF4-FFF2-40B4-BE49-F238E27FC236}">
              <a16:creationId xmlns:a16="http://schemas.microsoft.com/office/drawing/2014/main" id="{F3850732-CD06-4D53-941D-529539CA9E6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615919" y="2419640"/>
          <a:ext cx="135689" cy="126641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231249</xdr:colOff>
      <xdr:row>6</xdr:row>
      <xdr:rowOff>109287</xdr:rowOff>
    </xdr:from>
    <xdr:to>
      <xdr:col>24</xdr:col>
      <xdr:colOff>23770</xdr:colOff>
      <xdr:row>20</xdr:row>
      <xdr:rowOff>179070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6B842F13-DEB6-43D7-BDD0-A534F5E70B7E}"/>
            </a:ext>
          </a:extLst>
        </xdr:cNvPr>
        <xdr:cNvGrpSpPr/>
      </xdr:nvGrpSpPr>
      <xdr:grpSpPr>
        <a:xfrm>
          <a:off x="6231999" y="1252287"/>
          <a:ext cx="11222521" cy="2736783"/>
          <a:chOff x="5557629" y="1263717"/>
          <a:chExt cx="11222521" cy="2736783"/>
        </a:xfrm>
      </xdr:grpSpPr>
      <xdr:grpSp>
        <xdr:nvGrpSpPr>
          <xdr:cNvPr id="8" name="Gruppieren 7">
            <a:extLst>
              <a:ext uri="{FF2B5EF4-FFF2-40B4-BE49-F238E27FC236}">
                <a16:creationId xmlns:a16="http://schemas.microsoft.com/office/drawing/2014/main" id="{A8825480-5AAC-4E65-BB3D-53E959DBE418}"/>
              </a:ext>
            </a:extLst>
          </xdr:cNvPr>
          <xdr:cNvGrpSpPr/>
        </xdr:nvGrpSpPr>
        <xdr:grpSpPr>
          <a:xfrm>
            <a:off x="5557629" y="1263717"/>
            <a:ext cx="11222521" cy="2736783"/>
            <a:chOff x="5557629" y="1263717"/>
            <a:chExt cx="11222521" cy="2736783"/>
          </a:xfrm>
        </xdr:grpSpPr>
        <xdr:graphicFrame macro="">
          <xdr:nvGraphicFramePr>
            <xdr:cNvPr id="15" name="Diagramm 14">
              <a:extLst>
                <a:ext uri="{FF2B5EF4-FFF2-40B4-BE49-F238E27FC236}">
                  <a16:creationId xmlns:a16="http://schemas.microsoft.com/office/drawing/2014/main" id="{5657EDA7-6870-41AC-81E9-A7A98521D5E1}"/>
                </a:ext>
              </a:extLst>
            </xdr:cNvPr>
            <xdr:cNvGraphicFramePr>
              <a:graphicFrameLocks/>
            </xdr:cNvGraphicFramePr>
          </xdr:nvGraphicFramePr>
          <xdr:xfrm>
            <a:off x="13036825" y="1263717"/>
            <a:ext cx="3743325" cy="273678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16" name="Diagramm 15">
              <a:extLst>
                <a:ext uri="{FF2B5EF4-FFF2-40B4-BE49-F238E27FC236}">
                  <a16:creationId xmlns:a16="http://schemas.microsoft.com/office/drawing/2014/main" id="{5A342F8F-357D-4CE4-A0EE-E8F55EF03400}"/>
                </a:ext>
              </a:extLst>
            </xdr:cNvPr>
            <xdr:cNvGraphicFramePr>
              <a:graphicFrameLocks/>
            </xdr:cNvGraphicFramePr>
          </xdr:nvGraphicFramePr>
          <xdr:xfrm>
            <a:off x="9293085" y="1263717"/>
            <a:ext cx="3743325" cy="273678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335DFFCF-9F03-417E-8B5B-26F20B85B222}"/>
                </a:ext>
              </a:extLst>
            </xdr:cNvPr>
            <xdr:cNvGrpSpPr/>
          </xdr:nvGrpSpPr>
          <xdr:grpSpPr>
            <a:xfrm>
              <a:off x="5557629" y="1263717"/>
              <a:ext cx="3743325" cy="2736783"/>
              <a:chOff x="5557629" y="1263717"/>
              <a:chExt cx="3743325" cy="2736783"/>
            </a:xfrm>
          </xdr:grpSpPr>
          <xdr:graphicFrame macro="">
            <xdr:nvGraphicFramePr>
              <xdr:cNvPr id="51" name="Diagramm 50">
                <a:extLst>
                  <a:ext uri="{FF2B5EF4-FFF2-40B4-BE49-F238E27FC236}">
                    <a16:creationId xmlns:a16="http://schemas.microsoft.com/office/drawing/2014/main" id="{29E88938-F36D-46AA-92C2-68F702282396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557629" y="1263717"/>
              <a:ext cx="3743325" cy="273678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2" name="Textfeld 51">
                    <a:extLst>
                      <a:ext uri="{FF2B5EF4-FFF2-40B4-BE49-F238E27FC236}">
                        <a16:creationId xmlns:a16="http://schemas.microsoft.com/office/drawing/2014/main" id="{C4B57613-A078-4E5A-B3DB-DD8CD2533EE9}"/>
                      </a:ext>
                    </a:extLst>
                  </xdr:cNvPr>
                  <xdr:cNvSpPr txBox="1"/>
                </xdr:nvSpPr>
                <xdr:spPr>
                  <a:xfrm>
                    <a:off x="7131324" y="2575891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</m:d>
                        </m:oMath>
                      </m:oMathPara>
                    </a14:m>
                    <a:endParaRPr lang="de-AT" sz="1100" i="1"/>
                  </a:p>
                </xdr:txBody>
              </xdr:sp>
            </mc:Choice>
            <mc:Fallback>
              <xdr:sp macro="" textlink="">
                <xdr:nvSpPr>
                  <xdr:cNvPr id="52" name="Textfeld 51">
                    <a:extLst>
                      <a:ext uri="{FF2B5EF4-FFF2-40B4-BE49-F238E27FC236}">
                        <a16:creationId xmlns:a16="http://schemas.microsoft.com/office/drawing/2014/main" id="{C4B57613-A078-4E5A-B3DB-DD8CD2533EE9}"/>
                      </a:ext>
                    </a:extLst>
                  </xdr:cNvPr>
                  <xdr:cNvSpPr txBox="1"/>
                </xdr:nvSpPr>
                <xdr:spPr>
                  <a:xfrm>
                    <a:off x="7131324" y="2575891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:r>
                      <a:rPr lang="de-A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a:t>𝐿[𝜋_3 ]</a:t>
                    </a:r>
                    <a:endParaRPr lang="de-AT" sz="1100" i="1"/>
                  </a:p>
                </xdr:txBody>
              </xdr:sp>
            </mc:Fallback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3" name="Textfeld 52">
                    <a:extLst>
                      <a:ext uri="{FF2B5EF4-FFF2-40B4-BE49-F238E27FC236}">
                        <a16:creationId xmlns:a16="http://schemas.microsoft.com/office/drawing/2014/main" id="{35FBC922-066B-4B30-943B-2200B11906CA}"/>
                      </a:ext>
                    </a:extLst>
                  </xdr:cNvPr>
                  <xdr:cNvSpPr txBox="1"/>
                </xdr:nvSpPr>
                <xdr:spPr>
                  <a:xfrm>
                    <a:off x="7661411" y="2741543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</m:sub>
                              </m:sSub>
                            </m:e>
                          </m:d>
                        </m:oMath>
                      </m:oMathPara>
                    </a14:m>
                    <a:endParaRPr lang="de-AT" sz="1100" i="1"/>
                  </a:p>
                </xdr:txBody>
              </xdr:sp>
            </mc:Choice>
            <mc:Fallback>
              <xdr:sp macro="" textlink="">
                <xdr:nvSpPr>
                  <xdr:cNvPr id="53" name="Textfeld 52">
                    <a:extLst>
                      <a:ext uri="{FF2B5EF4-FFF2-40B4-BE49-F238E27FC236}">
                        <a16:creationId xmlns:a16="http://schemas.microsoft.com/office/drawing/2014/main" id="{35FBC922-066B-4B30-943B-2200B11906CA}"/>
                      </a:ext>
                    </a:extLst>
                  </xdr:cNvPr>
                  <xdr:cNvSpPr txBox="1"/>
                </xdr:nvSpPr>
                <xdr:spPr>
                  <a:xfrm>
                    <a:off x="7661411" y="2741543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:r>
                      <a:rPr lang="de-A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a:t>𝐿[𝜋_4 ]</a:t>
                    </a:r>
                    <a:endParaRPr lang="de-AT" sz="1100" i="1"/>
                  </a:p>
                </xdr:txBody>
              </xdr:sp>
            </mc:Fallback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4" name="Textfeld 53">
                    <a:extLst>
                      <a:ext uri="{FF2B5EF4-FFF2-40B4-BE49-F238E27FC236}">
                        <a16:creationId xmlns:a16="http://schemas.microsoft.com/office/drawing/2014/main" id="{E5BDAF7A-0A21-4D1D-B115-3D6E3CBE8FD1}"/>
                      </a:ext>
                    </a:extLst>
                  </xdr:cNvPr>
                  <xdr:cNvSpPr txBox="1"/>
                </xdr:nvSpPr>
                <xdr:spPr>
                  <a:xfrm>
                    <a:off x="8166650" y="3058567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5</m:t>
                                  </m:r>
                                </m:sub>
                              </m:sSub>
                            </m:e>
                          </m:d>
                        </m:oMath>
                      </m:oMathPara>
                    </a14:m>
                    <a:endParaRPr lang="de-AT" sz="1100" i="1"/>
                  </a:p>
                </xdr:txBody>
              </xdr:sp>
            </mc:Choice>
            <mc:Fallback>
              <xdr:sp macro="" textlink="">
                <xdr:nvSpPr>
                  <xdr:cNvPr id="54" name="Textfeld 53">
                    <a:extLst>
                      <a:ext uri="{FF2B5EF4-FFF2-40B4-BE49-F238E27FC236}">
                        <a16:creationId xmlns:a16="http://schemas.microsoft.com/office/drawing/2014/main" id="{E5BDAF7A-0A21-4D1D-B115-3D6E3CBE8FD1}"/>
                      </a:ext>
                    </a:extLst>
                  </xdr:cNvPr>
                  <xdr:cNvSpPr txBox="1"/>
                </xdr:nvSpPr>
                <xdr:spPr>
                  <a:xfrm>
                    <a:off x="8166650" y="3058567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:r>
                      <a:rPr lang="de-A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a:t>𝐿[𝜋_5 ]</a:t>
                    </a:r>
                    <a:endParaRPr lang="de-AT" sz="1100" i="1"/>
                  </a:p>
                </xdr:txBody>
              </xdr:sp>
            </mc:Fallback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5" name="Textfeld 54">
                    <a:extLst>
                      <a:ext uri="{FF2B5EF4-FFF2-40B4-BE49-F238E27FC236}">
                        <a16:creationId xmlns:a16="http://schemas.microsoft.com/office/drawing/2014/main" id="{DF9649C9-D555-485F-82EA-EA557DD4795E}"/>
                      </a:ext>
                    </a:extLst>
                  </xdr:cNvPr>
                  <xdr:cNvSpPr txBox="1"/>
                </xdr:nvSpPr>
                <xdr:spPr>
                  <a:xfrm>
                    <a:off x="6139410" y="3160529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de-AT" sz="1100" b="0" i="1">
                              <a:latin typeface="Cambria Math" panose="02040503050406030204" pitchFamily="18" charset="0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d>
                        </m:oMath>
                      </m:oMathPara>
                    </a14:m>
                    <a:endParaRPr lang="de-AT" sz="1100" i="1"/>
                  </a:p>
                </xdr:txBody>
              </xdr:sp>
            </mc:Choice>
            <mc:Fallback>
              <xdr:sp macro="" textlink="">
                <xdr:nvSpPr>
                  <xdr:cNvPr id="55" name="Textfeld 54">
                    <a:extLst>
                      <a:ext uri="{FF2B5EF4-FFF2-40B4-BE49-F238E27FC236}">
                        <a16:creationId xmlns:a16="http://schemas.microsoft.com/office/drawing/2014/main" id="{DF9649C9-D555-485F-82EA-EA557DD4795E}"/>
                      </a:ext>
                    </a:extLst>
                  </xdr:cNvPr>
                  <xdr:cNvSpPr txBox="1"/>
                </xdr:nvSpPr>
                <xdr:spPr>
                  <a:xfrm>
                    <a:off x="6139410" y="3160529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:r>
                      <a:rPr lang="de-AT" sz="1100" b="0" i="0">
                        <a:latin typeface="Cambria Math" panose="02040503050406030204" pitchFamily="18" charset="0"/>
                      </a:rPr>
                      <a:t>𝐿[</a:t>
                    </a:r>
                    <a:r>
                      <a:rPr lang="de-A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a:t>𝜋_1 ]</a:t>
                    </a:r>
                    <a:endParaRPr lang="de-AT" sz="1100" i="1"/>
                  </a:p>
                </xdr:txBody>
              </xdr:sp>
            </mc:Fallback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56" name="Textfeld 55">
                    <a:extLst>
                      <a:ext uri="{FF2B5EF4-FFF2-40B4-BE49-F238E27FC236}">
                        <a16:creationId xmlns:a16="http://schemas.microsoft.com/office/drawing/2014/main" id="{2B6128D7-3AAA-493C-A40E-76D12533F006}"/>
                      </a:ext>
                    </a:extLst>
                  </xdr:cNvPr>
                  <xdr:cNvSpPr txBox="1"/>
                </xdr:nvSpPr>
                <xdr:spPr>
                  <a:xfrm>
                    <a:off x="6651789" y="2851788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14:m>
                      <m:oMathPara xmlns:m="http://schemas.openxmlformats.org/officeDocument/2006/math">
                        <m:oMathParaPr>
                          <m:jc m:val="centerGroup"/>
                        </m:oMathParaPr>
                        <m:oMath xmlns:m="http://schemas.openxmlformats.org/officeDocument/2006/math"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</m:d>
                        </m:oMath>
                      </m:oMathPara>
                    </a14:m>
                    <a:endParaRPr lang="de-AT" sz="1100" i="0"/>
                  </a:p>
                </xdr:txBody>
              </xdr:sp>
            </mc:Choice>
            <mc:Fallback>
              <xdr:sp macro="" textlink="">
                <xdr:nvSpPr>
                  <xdr:cNvPr id="56" name="Textfeld 55">
                    <a:extLst>
                      <a:ext uri="{FF2B5EF4-FFF2-40B4-BE49-F238E27FC236}">
                        <a16:creationId xmlns:a16="http://schemas.microsoft.com/office/drawing/2014/main" id="{2B6128D7-3AAA-493C-A40E-76D12533F006}"/>
                      </a:ext>
                    </a:extLst>
                  </xdr:cNvPr>
                  <xdr:cNvSpPr txBox="1"/>
                </xdr:nvSpPr>
                <xdr:spPr>
                  <a:xfrm>
                    <a:off x="6651789" y="2851788"/>
                    <a:ext cx="447261" cy="289892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/>
                    <a:r>
                      <a:rPr lang="de-A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a:t>𝐿[𝜋_2 ]</a:t>
                    </a:r>
                    <a:endParaRPr lang="de-AT" sz="1100" i="0"/>
                  </a:p>
                </xdr:txBody>
              </xdr:sp>
            </mc:Fallback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3" name="Textfeld 22">
                  <a:extLst>
                    <a:ext uri="{FF2B5EF4-FFF2-40B4-BE49-F238E27FC236}">
                      <a16:creationId xmlns:a16="http://schemas.microsoft.com/office/drawing/2014/main" id="{72A8984B-2DAE-4643-B5F1-7D1C9FC7C960}"/>
                    </a:ext>
                  </a:extLst>
                </xdr:cNvPr>
                <xdr:cNvSpPr txBox="1"/>
              </xdr:nvSpPr>
              <xdr:spPr>
                <a:xfrm>
                  <a:off x="10847088" y="306108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3" name="Textfeld 22">
                  <a:extLst>
                    <a:ext uri="{FF2B5EF4-FFF2-40B4-BE49-F238E27FC236}">
                      <a16:creationId xmlns:a16="http://schemas.microsoft.com/office/drawing/2014/main" id="{72A8984B-2DAE-4643-B5F1-7D1C9FC7C960}"/>
                    </a:ext>
                  </a:extLst>
                </xdr:cNvPr>
                <xdr:cNvSpPr txBox="1"/>
              </xdr:nvSpPr>
              <xdr:spPr>
                <a:xfrm>
                  <a:off x="10847088" y="306108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𝐿[𝜋_2 ]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4" name="Textfeld 23">
                  <a:extLst>
                    <a:ext uri="{FF2B5EF4-FFF2-40B4-BE49-F238E27FC236}">
                      <a16:creationId xmlns:a16="http://schemas.microsoft.com/office/drawing/2014/main" id="{7D91A015-AC65-4BF6-8E79-34969ACBCEAB}"/>
                    </a:ext>
                  </a:extLst>
                </xdr:cNvPr>
                <xdr:cNvSpPr txBox="1"/>
              </xdr:nvSpPr>
              <xdr:spPr>
                <a:xfrm>
                  <a:off x="11337363" y="2646075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4" name="Textfeld 23">
                  <a:extLst>
                    <a:ext uri="{FF2B5EF4-FFF2-40B4-BE49-F238E27FC236}">
                      <a16:creationId xmlns:a16="http://schemas.microsoft.com/office/drawing/2014/main" id="{7D91A015-AC65-4BF6-8E79-34969ACBCEAB}"/>
                    </a:ext>
                  </a:extLst>
                </xdr:cNvPr>
                <xdr:cNvSpPr txBox="1"/>
              </xdr:nvSpPr>
              <xdr:spPr>
                <a:xfrm>
                  <a:off x="11337363" y="2646075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𝐿[𝜋_3 ]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5" name="Textfeld 24">
                  <a:extLst>
                    <a:ext uri="{FF2B5EF4-FFF2-40B4-BE49-F238E27FC236}">
                      <a16:creationId xmlns:a16="http://schemas.microsoft.com/office/drawing/2014/main" id="{7F8FB94F-B14B-43AA-9EDA-8C9E597FC884}"/>
                    </a:ext>
                  </a:extLst>
                </xdr:cNvPr>
                <xdr:cNvSpPr txBox="1"/>
              </xdr:nvSpPr>
              <xdr:spPr>
                <a:xfrm>
                  <a:off x="11841424" y="2191376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4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5" name="Textfeld 24">
                  <a:extLst>
                    <a:ext uri="{FF2B5EF4-FFF2-40B4-BE49-F238E27FC236}">
                      <a16:creationId xmlns:a16="http://schemas.microsoft.com/office/drawing/2014/main" id="{7F8FB94F-B14B-43AA-9EDA-8C9E597FC884}"/>
                    </a:ext>
                  </a:extLst>
                </xdr:cNvPr>
                <xdr:cNvSpPr txBox="1"/>
              </xdr:nvSpPr>
              <xdr:spPr>
                <a:xfrm>
                  <a:off x="11841424" y="2191376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𝐿[𝜋_4 ]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6" name="Textfeld 25">
                  <a:extLst>
                    <a:ext uri="{FF2B5EF4-FFF2-40B4-BE49-F238E27FC236}">
                      <a16:creationId xmlns:a16="http://schemas.microsoft.com/office/drawing/2014/main" id="{3A79AB03-6620-41EB-A91A-7398CD30C67C}"/>
                    </a:ext>
                  </a:extLst>
                </xdr:cNvPr>
                <xdr:cNvSpPr txBox="1"/>
              </xdr:nvSpPr>
              <xdr:spPr>
                <a:xfrm>
                  <a:off x="12326402" y="1982812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6" name="Textfeld 25">
                  <a:extLst>
                    <a:ext uri="{FF2B5EF4-FFF2-40B4-BE49-F238E27FC236}">
                      <a16:creationId xmlns:a16="http://schemas.microsoft.com/office/drawing/2014/main" id="{3A79AB03-6620-41EB-A91A-7398CD30C67C}"/>
                    </a:ext>
                  </a:extLst>
                </xdr:cNvPr>
                <xdr:cNvSpPr txBox="1"/>
              </xdr:nvSpPr>
              <xdr:spPr>
                <a:xfrm>
                  <a:off x="12326402" y="1982812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𝐿[𝜋_5 ]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7" name="Textfeld 26">
                  <a:extLst>
                    <a:ext uri="{FF2B5EF4-FFF2-40B4-BE49-F238E27FC236}">
                      <a16:creationId xmlns:a16="http://schemas.microsoft.com/office/drawing/2014/main" id="{FCAB68D9-401A-493B-8827-EAC9FCC03A1C}"/>
                    </a:ext>
                  </a:extLst>
                </xdr:cNvPr>
                <xdr:cNvSpPr txBox="1"/>
              </xdr:nvSpPr>
              <xdr:spPr>
                <a:xfrm>
                  <a:off x="13573839" y="2855395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7" name="Textfeld 26">
                  <a:extLst>
                    <a:ext uri="{FF2B5EF4-FFF2-40B4-BE49-F238E27FC236}">
                      <a16:creationId xmlns:a16="http://schemas.microsoft.com/office/drawing/2014/main" id="{FCAB68D9-401A-493B-8827-EAC9FCC03A1C}"/>
                    </a:ext>
                  </a:extLst>
                </xdr:cNvPr>
                <xdr:cNvSpPr txBox="1"/>
              </xdr:nvSpPr>
              <xdr:spPr>
                <a:xfrm>
                  <a:off x="13573839" y="2855395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𝐿[𝜋_1 ]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8" name="Textfeld 27">
                  <a:extLst>
                    <a:ext uri="{FF2B5EF4-FFF2-40B4-BE49-F238E27FC236}">
                      <a16:creationId xmlns:a16="http://schemas.microsoft.com/office/drawing/2014/main" id="{28C1896B-8CE0-47C6-9E4D-2FDB67B660B6}"/>
                    </a:ext>
                  </a:extLst>
                </xdr:cNvPr>
                <xdr:cNvSpPr txBox="1"/>
              </xdr:nvSpPr>
              <xdr:spPr>
                <a:xfrm>
                  <a:off x="14084776" y="2278898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8" name="Textfeld 27">
                  <a:extLst>
                    <a:ext uri="{FF2B5EF4-FFF2-40B4-BE49-F238E27FC236}">
                      <a16:creationId xmlns:a16="http://schemas.microsoft.com/office/drawing/2014/main" id="{28C1896B-8CE0-47C6-9E4D-2FDB67B660B6}"/>
                    </a:ext>
                  </a:extLst>
                </xdr:cNvPr>
                <xdr:cNvSpPr txBox="1"/>
              </xdr:nvSpPr>
              <xdr:spPr>
                <a:xfrm>
                  <a:off x="14084776" y="2278898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𝐿[𝜋_2 ]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9" name="Textfeld 28">
                  <a:extLst>
                    <a:ext uri="{FF2B5EF4-FFF2-40B4-BE49-F238E27FC236}">
                      <a16:creationId xmlns:a16="http://schemas.microsoft.com/office/drawing/2014/main" id="{D1BB0FB2-C823-4C1E-BB90-9B456934847F}"/>
                    </a:ext>
                  </a:extLst>
                </xdr:cNvPr>
                <xdr:cNvSpPr txBox="1"/>
              </xdr:nvSpPr>
              <xdr:spPr>
                <a:xfrm>
                  <a:off x="14581967" y="171579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9" name="Textfeld 28">
                  <a:extLst>
                    <a:ext uri="{FF2B5EF4-FFF2-40B4-BE49-F238E27FC236}">
                      <a16:creationId xmlns:a16="http://schemas.microsoft.com/office/drawing/2014/main" id="{D1BB0FB2-C823-4C1E-BB90-9B456934847F}"/>
                    </a:ext>
                  </a:extLst>
                </xdr:cNvPr>
                <xdr:cNvSpPr txBox="1"/>
              </xdr:nvSpPr>
              <xdr:spPr>
                <a:xfrm>
                  <a:off x="14581967" y="171579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𝐿[𝜋_3 ]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" name="Textfeld 29">
                  <a:extLst>
                    <a:ext uri="{FF2B5EF4-FFF2-40B4-BE49-F238E27FC236}">
                      <a16:creationId xmlns:a16="http://schemas.microsoft.com/office/drawing/2014/main" id="{79047374-78D3-48B6-B4FB-69FB93EB3CC1}"/>
                    </a:ext>
                  </a:extLst>
                </xdr:cNvPr>
                <xdr:cNvSpPr txBox="1"/>
              </xdr:nvSpPr>
              <xdr:spPr>
                <a:xfrm>
                  <a:off x="15660544" y="2000969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4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30" name="Textfeld 29">
                  <a:extLst>
                    <a:ext uri="{FF2B5EF4-FFF2-40B4-BE49-F238E27FC236}">
                      <a16:creationId xmlns:a16="http://schemas.microsoft.com/office/drawing/2014/main" id="{79047374-78D3-48B6-B4FB-69FB93EB3CC1}"/>
                    </a:ext>
                  </a:extLst>
                </xdr:cNvPr>
                <xdr:cNvSpPr txBox="1"/>
              </xdr:nvSpPr>
              <xdr:spPr>
                <a:xfrm>
                  <a:off x="15660544" y="2000969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𝐿[𝜋_4 ]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1" name="Textfeld 30">
                  <a:extLst>
                    <a:ext uri="{FF2B5EF4-FFF2-40B4-BE49-F238E27FC236}">
                      <a16:creationId xmlns:a16="http://schemas.microsoft.com/office/drawing/2014/main" id="{5EFD329F-512B-4B51-860A-B6AEAD69E20E}"/>
                    </a:ext>
                  </a:extLst>
                </xdr:cNvPr>
                <xdr:cNvSpPr txBox="1"/>
              </xdr:nvSpPr>
              <xdr:spPr>
                <a:xfrm>
                  <a:off x="16128781" y="275528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31" name="Textfeld 30">
                  <a:extLst>
                    <a:ext uri="{FF2B5EF4-FFF2-40B4-BE49-F238E27FC236}">
                      <a16:creationId xmlns:a16="http://schemas.microsoft.com/office/drawing/2014/main" id="{5EFD329F-512B-4B51-860A-B6AEAD69E20E}"/>
                    </a:ext>
                  </a:extLst>
                </xdr:cNvPr>
                <xdr:cNvSpPr txBox="1"/>
              </xdr:nvSpPr>
              <xdr:spPr>
                <a:xfrm>
                  <a:off x="16128781" y="275528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𝐿[𝜋_5 ]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2" name="Textfeld 31">
                  <a:extLst>
                    <a:ext uri="{FF2B5EF4-FFF2-40B4-BE49-F238E27FC236}">
                      <a16:creationId xmlns:a16="http://schemas.microsoft.com/office/drawing/2014/main" id="{6179C516-1092-4EEF-A5D7-EC43B9375E6D}"/>
                    </a:ext>
                  </a:extLst>
                </xdr:cNvPr>
                <xdr:cNvSpPr txBox="1"/>
              </xdr:nvSpPr>
              <xdr:spPr>
                <a:xfrm>
                  <a:off x="15644875" y="1685720"/>
                  <a:ext cx="1057508" cy="43956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de-AT" sz="1100" b="0" i="1">
                      <a:solidFill>
                        <a:schemeClr val="dk1"/>
                      </a:solidFill>
                      <a:effectLst/>
                      <a:ea typeface="+mn-ea"/>
                      <a:cs typeface="+mn-cs"/>
                    </a:rPr>
                    <a:t>e.g. </a:t>
                  </a:r>
                  <a14:m>
                    <m:oMath xmlns:m="http://schemas.openxmlformats.org/officeDocument/2006/math">
                      <m:f>
                        <m:fPr>
                          <m:ctrlP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3</m:t>
                                  </m:r>
                                </m:sub>
                              </m:sSub>
                            </m:e>
                          </m:d>
                          <m:r>
                            <a:rPr lang="de-AT" sz="1100" b="0" i="1">
                              <a:latin typeface="Cambria Math" panose="02040503050406030204" pitchFamily="18" charset="0"/>
                            </a:rPr>
                            <m:t>+</m:t>
                          </m:r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𝐿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de-AT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𝜋</m:t>
                                  </m:r>
                                </m:e>
                                <m:sub>
                                  <m:r>
                                    <a:rPr lang="de-AT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4</m:t>
                                  </m:r>
                                </m:sub>
                              </m:sSub>
                            </m:e>
                          </m:d>
                        </m:num>
                        <m:den>
                          <m:r>
                            <a:rPr lang="de-AT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den>
                      </m:f>
                    </m:oMath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32" name="Textfeld 31">
                  <a:extLst>
                    <a:ext uri="{FF2B5EF4-FFF2-40B4-BE49-F238E27FC236}">
                      <a16:creationId xmlns:a16="http://schemas.microsoft.com/office/drawing/2014/main" id="{6179C516-1092-4EEF-A5D7-EC43B9375E6D}"/>
                    </a:ext>
                  </a:extLst>
                </xdr:cNvPr>
                <xdr:cNvSpPr txBox="1"/>
              </xdr:nvSpPr>
              <xdr:spPr>
                <a:xfrm>
                  <a:off x="15644875" y="1685720"/>
                  <a:ext cx="1057508" cy="43956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de-AT" sz="1100" b="0" i="1">
                      <a:solidFill>
                        <a:schemeClr val="dk1"/>
                      </a:solidFill>
                      <a:effectLst/>
                      <a:ea typeface="+mn-ea"/>
                      <a:cs typeface="+mn-cs"/>
                    </a:rPr>
                    <a:t>e.g. </a:t>
                  </a:r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(𝐿[𝜋_3 ]</a:t>
                  </a:r>
                  <a:r>
                    <a:rPr lang="de-AT" sz="1100" b="0" i="0">
                      <a:latin typeface="Cambria Math" panose="02040503050406030204" pitchFamily="18" charset="0"/>
                    </a:rPr>
                    <a:t>+</a:t>
                  </a:r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𝐿[𝜋_4 ])/2</a:t>
                  </a:r>
                  <a:endParaRPr lang="de-AT" sz="1100" i="1"/>
                </a:p>
              </xdr:txBody>
            </xdr:sp>
          </mc:Fallback>
        </mc:AlternateContent>
        <xdr:cxnSp macro="">
          <xdr:nvCxnSpPr>
            <xdr:cNvPr id="33" name="Gerader Verbinder 32">
              <a:extLst>
                <a:ext uri="{FF2B5EF4-FFF2-40B4-BE49-F238E27FC236}">
                  <a16:creationId xmlns:a16="http://schemas.microsoft.com/office/drawing/2014/main" id="{0EABFEF4-7A40-4C78-97F6-0630669D5D9A}"/>
                </a:ext>
              </a:extLst>
            </xdr:cNvPr>
            <xdr:cNvCxnSpPr/>
          </xdr:nvCxnSpPr>
          <xdr:spPr>
            <a:xfrm flipV="1">
              <a:off x="15611672" y="1984700"/>
              <a:ext cx="183931" cy="9853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" name="Gerader Verbinder 33">
              <a:extLst>
                <a:ext uri="{FF2B5EF4-FFF2-40B4-BE49-F238E27FC236}">
                  <a16:creationId xmlns:a16="http://schemas.microsoft.com/office/drawing/2014/main" id="{C425C968-ED92-4B81-9AA5-C043C5BC0D9E}"/>
                </a:ext>
              </a:extLst>
            </xdr:cNvPr>
            <xdr:cNvCxnSpPr/>
          </xdr:nvCxnSpPr>
          <xdr:spPr>
            <a:xfrm>
              <a:off x="13996811" y="3078224"/>
              <a:ext cx="102577" cy="6594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" name="Gerader Verbinder 34">
              <a:extLst>
                <a:ext uri="{FF2B5EF4-FFF2-40B4-BE49-F238E27FC236}">
                  <a16:creationId xmlns:a16="http://schemas.microsoft.com/office/drawing/2014/main" id="{60EE3109-5BAF-47F4-9777-F7EA55401D94}"/>
                </a:ext>
              </a:extLst>
            </xdr:cNvPr>
            <xdr:cNvCxnSpPr/>
          </xdr:nvCxnSpPr>
          <xdr:spPr>
            <a:xfrm>
              <a:off x="14506592" y="2514736"/>
              <a:ext cx="102577" cy="6594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" name="Gerader Verbinder 35">
              <a:extLst>
                <a:ext uri="{FF2B5EF4-FFF2-40B4-BE49-F238E27FC236}">
                  <a16:creationId xmlns:a16="http://schemas.microsoft.com/office/drawing/2014/main" id="{F2841C3D-A894-4C5D-BB5E-AF1B451001EE}"/>
                </a:ext>
              </a:extLst>
            </xdr:cNvPr>
            <xdr:cNvCxnSpPr/>
          </xdr:nvCxnSpPr>
          <xdr:spPr>
            <a:xfrm>
              <a:off x="15011371" y="1951328"/>
              <a:ext cx="102577" cy="6594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Gerader Verbinder 36">
              <a:extLst>
                <a:ext uri="{FF2B5EF4-FFF2-40B4-BE49-F238E27FC236}">
                  <a16:creationId xmlns:a16="http://schemas.microsoft.com/office/drawing/2014/main" id="{B0D06A8A-191E-4669-AB27-708EE5E0962A}"/>
                </a:ext>
              </a:extLst>
            </xdr:cNvPr>
            <xdr:cNvCxnSpPr/>
          </xdr:nvCxnSpPr>
          <xdr:spPr>
            <a:xfrm flipH="1">
              <a:off x="15621216" y="2110182"/>
              <a:ext cx="90202" cy="43099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Gerader Verbinder 37">
              <a:extLst>
                <a:ext uri="{FF2B5EF4-FFF2-40B4-BE49-F238E27FC236}">
                  <a16:creationId xmlns:a16="http://schemas.microsoft.com/office/drawing/2014/main" id="{19290D40-6331-4458-9C3B-F7914155BBDC}"/>
                </a:ext>
              </a:extLst>
            </xdr:cNvPr>
            <xdr:cNvCxnSpPr/>
          </xdr:nvCxnSpPr>
          <xdr:spPr>
            <a:xfrm flipH="1">
              <a:off x="16106945" y="2967433"/>
              <a:ext cx="90202" cy="43099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9" name="Textfeld 38">
                  <a:extLst>
                    <a:ext uri="{FF2B5EF4-FFF2-40B4-BE49-F238E27FC236}">
                      <a16:creationId xmlns:a16="http://schemas.microsoft.com/office/drawing/2014/main" id="{636C5D40-959C-46D1-941B-96AB626F1600}"/>
                    </a:ext>
                  </a:extLst>
                </xdr:cNvPr>
                <xdr:cNvSpPr txBox="1"/>
              </xdr:nvSpPr>
              <xdr:spPr>
                <a:xfrm>
                  <a:off x="13603852" y="3233858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39" name="Textfeld 38">
                  <a:extLst>
                    <a:ext uri="{FF2B5EF4-FFF2-40B4-BE49-F238E27FC236}">
                      <a16:creationId xmlns:a16="http://schemas.microsoft.com/office/drawing/2014/main" id="{636C5D40-959C-46D1-941B-96AB626F1600}"/>
                    </a:ext>
                  </a:extLst>
                </xdr:cNvPr>
                <xdr:cNvSpPr txBox="1"/>
              </xdr:nvSpPr>
              <xdr:spPr>
                <a:xfrm>
                  <a:off x="13603852" y="3233858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𝐻[𝜋_1 ]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0" name="Textfeld 39">
                  <a:extLst>
                    <a:ext uri="{FF2B5EF4-FFF2-40B4-BE49-F238E27FC236}">
                      <a16:creationId xmlns:a16="http://schemas.microsoft.com/office/drawing/2014/main" id="{883E6C06-DE4A-4E4A-882C-7030C3DCCF5B}"/>
                    </a:ext>
                  </a:extLst>
                </xdr:cNvPr>
                <xdr:cNvSpPr txBox="1"/>
              </xdr:nvSpPr>
              <xdr:spPr>
                <a:xfrm>
                  <a:off x="14104393" y="300974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40" name="Textfeld 39">
                  <a:extLst>
                    <a:ext uri="{FF2B5EF4-FFF2-40B4-BE49-F238E27FC236}">
                      <a16:creationId xmlns:a16="http://schemas.microsoft.com/office/drawing/2014/main" id="{883E6C06-DE4A-4E4A-882C-7030C3DCCF5B}"/>
                    </a:ext>
                  </a:extLst>
                </xdr:cNvPr>
                <xdr:cNvSpPr txBox="1"/>
              </xdr:nvSpPr>
              <xdr:spPr>
                <a:xfrm>
                  <a:off x="14104393" y="300974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𝐻[𝜋_2 ]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1" name="Textfeld 40">
                  <a:extLst>
                    <a:ext uri="{FF2B5EF4-FFF2-40B4-BE49-F238E27FC236}">
                      <a16:creationId xmlns:a16="http://schemas.microsoft.com/office/drawing/2014/main" id="{ABE39124-721D-46FA-8B1D-FA607A2ED0F6}"/>
                    </a:ext>
                  </a:extLst>
                </xdr:cNvPr>
                <xdr:cNvSpPr txBox="1"/>
              </xdr:nvSpPr>
              <xdr:spPr>
                <a:xfrm>
                  <a:off x="14588084" y="272439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41" name="Textfeld 40">
                  <a:extLst>
                    <a:ext uri="{FF2B5EF4-FFF2-40B4-BE49-F238E27FC236}">
                      <a16:creationId xmlns:a16="http://schemas.microsoft.com/office/drawing/2014/main" id="{ABE39124-721D-46FA-8B1D-FA607A2ED0F6}"/>
                    </a:ext>
                  </a:extLst>
                </xdr:cNvPr>
                <xdr:cNvSpPr txBox="1"/>
              </xdr:nvSpPr>
              <xdr:spPr>
                <a:xfrm>
                  <a:off x="14588084" y="272439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𝐻[𝜋_3 ]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2" name="Textfeld 41">
                  <a:extLst>
                    <a:ext uri="{FF2B5EF4-FFF2-40B4-BE49-F238E27FC236}">
                      <a16:creationId xmlns:a16="http://schemas.microsoft.com/office/drawing/2014/main" id="{C977405A-A21F-4B9B-9DF5-39AED3B83D4B}"/>
                    </a:ext>
                  </a:extLst>
                </xdr:cNvPr>
                <xdr:cNvSpPr txBox="1"/>
              </xdr:nvSpPr>
              <xdr:spPr>
                <a:xfrm>
                  <a:off x="15085572" y="2622655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4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42" name="Textfeld 41">
                  <a:extLst>
                    <a:ext uri="{FF2B5EF4-FFF2-40B4-BE49-F238E27FC236}">
                      <a16:creationId xmlns:a16="http://schemas.microsoft.com/office/drawing/2014/main" id="{C977405A-A21F-4B9B-9DF5-39AED3B83D4B}"/>
                    </a:ext>
                  </a:extLst>
                </xdr:cNvPr>
                <xdr:cNvSpPr txBox="1"/>
              </xdr:nvSpPr>
              <xdr:spPr>
                <a:xfrm>
                  <a:off x="15085572" y="2622655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𝐻[𝜋_4 ]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3" name="Textfeld 42">
                  <a:extLst>
                    <a:ext uri="{FF2B5EF4-FFF2-40B4-BE49-F238E27FC236}">
                      <a16:creationId xmlns:a16="http://schemas.microsoft.com/office/drawing/2014/main" id="{F781CFED-1DFB-426D-8FA5-B7DB61A87798}"/>
                    </a:ext>
                  </a:extLst>
                </xdr:cNvPr>
                <xdr:cNvSpPr txBox="1"/>
              </xdr:nvSpPr>
              <xdr:spPr>
                <a:xfrm>
                  <a:off x="15594743" y="2877402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43" name="Textfeld 42">
                  <a:extLst>
                    <a:ext uri="{FF2B5EF4-FFF2-40B4-BE49-F238E27FC236}">
                      <a16:creationId xmlns:a16="http://schemas.microsoft.com/office/drawing/2014/main" id="{F781CFED-1DFB-426D-8FA5-B7DB61A87798}"/>
                    </a:ext>
                  </a:extLst>
                </xdr:cNvPr>
                <xdr:cNvSpPr txBox="1"/>
              </xdr:nvSpPr>
              <xdr:spPr>
                <a:xfrm>
                  <a:off x="15594743" y="2877402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𝐻[𝜋_5 ]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4" name="Textfeld 43">
                  <a:extLst>
                    <a:ext uri="{FF2B5EF4-FFF2-40B4-BE49-F238E27FC236}">
                      <a16:creationId xmlns:a16="http://schemas.microsoft.com/office/drawing/2014/main" id="{C0DF8035-F316-4C37-B109-43B6E5B7B02B}"/>
                    </a:ext>
                  </a:extLst>
                </xdr:cNvPr>
                <xdr:cNvSpPr txBox="1"/>
              </xdr:nvSpPr>
              <xdr:spPr>
                <a:xfrm>
                  <a:off x="16102320" y="318317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6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44" name="Textfeld 43">
                  <a:extLst>
                    <a:ext uri="{FF2B5EF4-FFF2-40B4-BE49-F238E27FC236}">
                      <a16:creationId xmlns:a16="http://schemas.microsoft.com/office/drawing/2014/main" id="{C0DF8035-F316-4C37-B109-43B6E5B7B02B}"/>
                    </a:ext>
                  </a:extLst>
                </xdr:cNvPr>
                <xdr:cNvSpPr txBox="1"/>
              </xdr:nvSpPr>
              <xdr:spPr>
                <a:xfrm>
                  <a:off x="16102320" y="318317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𝐻[𝜋_6 ]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0" name="Textfeld 49">
                  <a:extLst>
                    <a:ext uri="{FF2B5EF4-FFF2-40B4-BE49-F238E27FC236}">
                      <a16:creationId xmlns:a16="http://schemas.microsoft.com/office/drawing/2014/main" id="{83CD00E6-AE4B-455C-A430-3118C5CFFED5}"/>
                    </a:ext>
                  </a:extLst>
                </xdr:cNvPr>
                <xdr:cNvSpPr txBox="1"/>
              </xdr:nvSpPr>
              <xdr:spPr>
                <a:xfrm>
                  <a:off x="10371931" y="324315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de-AT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</m:e>
                              <m:sub>
                                <m:r>
                                  <a:rPr lang="de-AT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50" name="Textfeld 49">
                  <a:extLst>
                    <a:ext uri="{FF2B5EF4-FFF2-40B4-BE49-F238E27FC236}">
                      <a16:creationId xmlns:a16="http://schemas.microsoft.com/office/drawing/2014/main" id="{83CD00E6-AE4B-455C-A430-3118C5CFFED5}"/>
                    </a:ext>
                  </a:extLst>
                </xdr:cNvPr>
                <xdr:cNvSpPr txBox="1"/>
              </xdr:nvSpPr>
              <xdr:spPr>
                <a:xfrm>
                  <a:off x="10371931" y="3243154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𝐿[𝜋_1 ]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" name="Textfeld 1">
                  <a:extLst>
                    <a:ext uri="{FF2B5EF4-FFF2-40B4-BE49-F238E27FC236}">
                      <a16:creationId xmlns:a16="http://schemas.microsoft.com/office/drawing/2014/main" id="{95896444-5853-7A41-06B2-51FC2C067E18}"/>
                    </a:ext>
                  </a:extLst>
                </xdr:cNvPr>
                <xdr:cNvSpPr txBox="1"/>
              </xdr:nvSpPr>
              <xdr:spPr>
                <a:xfrm>
                  <a:off x="10064201" y="303067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de-AT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)</m:t>
                        </m:r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2" name="Textfeld 1">
                  <a:extLst>
                    <a:ext uri="{FF2B5EF4-FFF2-40B4-BE49-F238E27FC236}">
                      <a16:creationId xmlns:a16="http://schemas.microsoft.com/office/drawing/2014/main" id="{95896444-5853-7A41-06B2-51FC2C067E18}"/>
                    </a:ext>
                  </a:extLst>
                </xdr:cNvPr>
                <xdr:cNvSpPr txBox="1"/>
              </xdr:nvSpPr>
              <xdr:spPr>
                <a:xfrm>
                  <a:off x="10064201" y="303067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</a:t>
                  </a:r>
                  <a:r>
                    <a:rPr lang="de-AT" sz="1100" b="0" i="0">
                      <a:latin typeface="Cambria Math" panose="02040503050406030204" pitchFamily="18" charset="0"/>
                    </a:rPr>
                    <a:t>(𝜏_1)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" name="Textfeld 3">
                  <a:extLst>
                    <a:ext uri="{FF2B5EF4-FFF2-40B4-BE49-F238E27FC236}">
                      <a16:creationId xmlns:a16="http://schemas.microsoft.com/office/drawing/2014/main" id="{FF577EEE-CD94-4D23-6BCD-4F35434EFE0F}"/>
                    </a:ext>
                  </a:extLst>
                </xdr:cNvPr>
                <xdr:cNvSpPr txBox="1"/>
              </xdr:nvSpPr>
              <xdr:spPr>
                <a:xfrm>
                  <a:off x="10555104" y="2730269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de-AT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)</m:t>
                        </m:r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4" name="Textfeld 3">
                  <a:extLst>
                    <a:ext uri="{FF2B5EF4-FFF2-40B4-BE49-F238E27FC236}">
                      <a16:creationId xmlns:a16="http://schemas.microsoft.com/office/drawing/2014/main" id="{FF577EEE-CD94-4D23-6BCD-4F35434EFE0F}"/>
                    </a:ext>
                  </a:extLst>
                </xdr:cNvPr>
                <xdr:cNvSpPr txBox="1"/>
              </xdr:nvSpPr>
              <xdr:spPr>
                <a:xfrm>
                  <a:off x="10555104" y="2730269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</a:t>
                  </a:r>
                  <a:r>
                    <a:rPr lang="de-AT" sz="1100" b="0" i="0">
                      <a:latin typeface="Cambria Math" panose="02040503050406030204" pitchFamily="18" charset="0"/>
                    </a:rPr>
                    <a:t>(𝜏_2)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" name="Textfeld 4">
                  <a:extLst>
                    <a:ext uri="{FF2B5EF4-FFF2-40B4-BE49-F238E27FC236}">
                      <a16:creationId xmlns:a16="http://schemas.microsoft.com/office/drawing/2014/main" id="{F99D9105-A910-83DF-9877-90E7CCC9BC7A}"/>
                    </a:ext>
                  </a:extLst>
                </xdr:cNvPr>
                <xdr:cNvSpPr txBox="1"/>
              </xdr:nvSpPr>
              <xdr:spPr>
                <a:xfrm>
                  <a:off x="11046009" y="226867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de-AT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)</m:t>
                        </m:r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5" name="Textfeld 4">
                  <a:extLst>
                    <a:ext uri="{FF2B5EF4-FFF2-40B4-BE49-F238E27FC236}">
                      <a16:creationId xmlns:a16="http://schemas.microsoft.com/office/drawing/2014/main" id="{F99D9105-A910-83DF-9877-90E7CCC9BC7A}"/>
                    </a:ext>
                  </a:extLst>
                </xdr:cNvPr>
                <xdr:cNvSpPr txBox="1"/>
              </xdr:nvSpPr>
              <xdr:spPr>
                <a:xfrm>
                  <a:off x="11046009" y="226867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</a:t>
                  </a:r>
                  <a:r>
                    <a:rPr lang="de-AT" sz="1100" b="0" i="0">
                      <a:latin typeface="Cambria Math" panose="02040503050406030204" pitchFamily="18" charset="0"/>
                    </a:rPr>
                    <a:t>(𝜏_3)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" name="Textfeld 5">
                  <a:extLst>
                    <a:ext uri="{FF2B5EF4-FFF2-40B4-BE49-F238E27FC236}">
                      <a16:creationId xmlns:a16="http://schemas.microsoft.com/office/drawing/2014/main" id="{0EB86152-D66B-39C7-7252-4E367CD98335}"/>
                    </a:ext>
                  </a:extLst>
                </xdr:cNvPr>
                <xdr:cNvSpPr txBox="1"/>
              </xdr:nvSpPr>
              <xdr:spPr>
                <a:xfrm>
                  <a:off x="11536912" y="186569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de-AT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)</m:t>
                        </m:r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6" name="Textfeld 5">
                  <a:extLst>
                    <a:ext uri="{FF2B5EF4-FFF2-40B4-BE49-F238E27FC236}">
                      <a16:creationId xmlns:a16="http://schemas.microsoft.com/office/drawing/2014/main" id="{0EB86152-D66B-39C7-7252-4E367CD98335}"/>
                    </a:ext>
                  </a:extLst>
                </xdr:cNvPr>
                <xdr:cNvSpPr txBox="1"/>
              </xdr:nvSpPr>
              <xdr:spPr>
                <a:xfrm>
                  <a:off x="11536912" y="1865693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</a:t>
                  </a:r>
                  <a:r>
                    <a:rPr lang="de-AT" sz="1100" b="0" i="0">
                      <a:latin typeface="Cambria Math" panose="02040503050406030204" pitchFamily="18" charset="0"/>
                    </a:rPr>
                    <a:t>(𝜏_4)</a:t>
                  </a:r>
                  <a:endParaRPr lang="de-AT" sz="1100" i="1"/>
                </a:p>
              </xdr:txBody>
            </xdr:sp>
          </mc:Fallback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" name="Textfeld 6">
                  <a:extLst>
                    <a:ext uri="{FF2B5EF4-FFF2-40B4-BE49-F238E27FC236}">
                      <a16:creationId xmlns:a16="http://schemas.microsoft.com/office/drawing/2014/main" id="{E10D5004-E421-6EB2-66AF-CE6B52EDB2E5}"/>
                    </a:ext>
                  </a:extLst>
                </xdr:cNvPr>
                <xdr:cNvSpPr txBox="1"/>
              </xdr:nvSpPr>
              <xdr:spPr>
                <a:xfrm>
                  <a:off x="12027815" y="1733808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de-AT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𝐿</m:t>
                        </m:r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de-AT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de-AT" sz="11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sub>
                        </m:sSub>
                        <m:r>
                          <a:rPr lang="de-AT" sz="1100" b="0" i="1">
                            <a:latin typeface="Cambria Math" panose="02040503050406030204" pitchFamily="18" charset="0"/>
                          </a:rPr>
                          <m:t>)</m:t>
                        </m:r>
                      </m:oMath>
                    </m:oMathPara>
                  </a14:m>
                  <a:endParaRPr lang="de-AT" sz="1100" i="1"/>
                </a:p>
              </xdr:txBody>
            </xdr:sp>
          </mc:Choice>
          <mc:Fallback>
            <xdr:sp macro="" textlink="">
              <xdr:nvSpPr>
                <xdr:cNvPr id="7" name="Textfeld 6">
                  <a:extLst>
                    <a:ext uri="{FF2B5EF4-FFF2-40B4-BE49-F238E27FC236}">
                      <a16:creationId xmlns:a16="http://schemas.microsoft.com/office/drawing/2014/main" id="{E10D5004-E421-6EB2-66AF-CE6B52EDB2E5}"/>
                    </a:ext>
                  </a:extLst>
                </xdr:cNvPr>
                <xdr:cNvSpPr txBox="1"/>
              </xdr:nvSpPr>
              <xdr:spPr>
                <a:xfrm>
                  <a:off x="12027815" y="1733808"/>
                  <a:ext cx="447261" cy="28989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/>
                  <a:r>
                    <a:rPr lang="de-AT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a:t>𝐿</a:t>
                  </a:r>
                  <a:r>
                    <a:rPr lang="de-AT" sz="1100" b="0" i="0">
                      <a:latin typeface="Cambria Math" panose="02040503050406030204" pitchFamily="18" charset="0"/>
                    </a:rPr>
                    <a:t>(𝜏_5)</a:t>
                  </a:r>
                  <a:endParaRPr lang="de-AT" sz="1100" i="1"/>
                </a:p>
              </xdr:txBody>
            </xdr:sp>
          </mc:Fallback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" name="Textfeld 8">
                <a:extLst>
                  <a:ext uri="{FF2B5EF4-FFF2-40B4-BE49-F238E27FC236}">
                    <a16:creationId xmlns:a16="http://schemas.microsoft.com/office/drawing/2014/main" id="{C07FC86C-993D-4F4C-A44E-63940B833DAE}"/>
                  </a:ext>
                </a:extLst>
              </xdr:cNvPr>
              <xdr:cNvSpPr txBox="1"/>
            </xdr:nvSpPr>
            <xdr:spPr>
              <a:xfrm>
                <a:off x="7350673" y="3639206"/>
                <a:ext cx="559075" cy="24305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𝜏</m:t>
                      </m:r>
                    </m:oMath>
                  </m:oMathPara>
                </a14:m>
                <a:endParaRPr lang="de-AT">
                  <a:effectLst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Choice>
        <mc:Fallback>
          <xdr:sp macro="" textlink="">
            <xdr:nvSpPr>
              <xdr:cNvPr id="9" name="Textfeld 8">
                <a:extLst>
                  <a:ext uri="{FF2B5EF4-FFF2-40B4-BE49-F238E27FC236}">
                    <a16:creationId xmlns:a16="http://schemas.microsoft.com/office/drawing/2014/main" id="{C07FC86C-993D-4F4C-A44E-63940B833DAE}"/>
                  </a:ext>
                </a:extLst>
              </xdr:cNvPr>
              <xdr:cNvSpPr txBox="1"/>
            </xdr:nvSpPr>
            <xdr:spPr>
              <a:xfrm>
                <a:off x="7350673" y="3639206"/>
                <a:ext cx="559075" cy="24305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+mn-ea"/>
                    <a:cs typeface="+mn-cs"/>
                  </a:rPr>
                  <a:t>𝜏</a:t>
                </a:r>
                <a:endParaRPr lang="de-AT">
                  <a:effectLst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" name="Textfeld 9">
                <a:extLst>
                  <a:ext uri="{FF2B5EF4-FFF2-40B4-BE49-F238E27FC236}">
                    <a16:creationId xmlns:a16="http://schemas.microsoft.com/office/drawing/2014/main" id="{F84D85AE-1D1A-425D-9645-5F75BFA5DCA6}"/>
                  </a:ext>
                </a:extLst>
              </xdr:cNvPr>
              <xdr:cNvSpPr txBox="1"/>
            </xdr:nvSpPr>
            <xdr:spPr>
              <a:xfrm>
                <a:off x="11114690" y="3636931"/>
                <a:ext cx="559075" cy="24305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𝜏</m:t>
                      </m:r>
                    </m:oMath>
                  </m:oMathPara>
                </a14:m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Choice>
        <mc:Fallback>
          <xdr:sp macro="" textlink="">
            <xdr:nvSpPr>
              <xdr:cNvPr id="10" name="Textfeld 9">
                <a:extLst>
                  <a:ext uri="{FF2B5EF4-FFF2-40B4-BE49-F238E27FC236}">
                    <a16:creationId xmlns:a16="http://schemas.microsoft.com/office/drawing/2014/main" id="{F84D85AE-1D1A-425D-9645-5F75BFA5DCA6}"/>
                  </a:ext>
                </a:extLst>
              </xdr:cNvPr>
              <xdr:cNvSpPr txBox="1"/>
            </xdr:nvSpPr>
            <xdr:spPr>
              <a:xfrm>
                <a:off x="11114690" y="3636931"/>
                <a:ext cx="559075" cy="24305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𝜏</a:t>
                </a: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" name="Textfeld 10">
                <a:extLst>
                  <a:ext uri="{FF2B5EF4-FFF2-40B4-BE49-F238E27FC236}">
                    <a16:creationId xmlns:a16="http://schemas.microsoft.com/office/drawing/2014/main" id="{278AC889-DED1-4C06-A6E6-6BD8E8DBEC24}"/>
                  </a:ext>
                </a:extLst>
              </xdr:cNvPr>
              <xdr:cNvSpPr txBox="1"/>
            </xdr:nvSpPr>
            <xdr:spPr>
              <a:xfrm>
                <a:off x="14832724" y="3636931"/>
                <a:ext cx="559075" cy="24305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𝜏</m:t>
                      </m:r>
                    </m:oMath>
                  </m:oMathPara>
                </a14:m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Choice>
        <mc:Fallback>
          <xdr:sp macro="" textlink="">
            <xdr:nvSpPr>
              <xdr:cNvPr id="11" name="Textfeld 10">
                <a:extLst>
                  <a:ext uri="{FF2B5EF4-FFF2-40B4-BE49-F238E27FC236}">
                    <a16:creationId xmlns:a16="http://schemas.microsoft.com/office/drawing/2014/main" id="{278AC889-DED1-4C06-A6E6-6BD8E8DBEC24}"/>
                  </a:ext>
                </a:extLst>
              </xdr:cNvPr>
              <xdr:cNvSpPr txBox="1"/>
            </xdr:nvSpPr>
            <xdr:spPr>
              <a:xfrm>
                <a:off x="14832724" y="3636931"/>
                <a:ext cx="559075" cy="24305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𝜏</a:t>
                </a: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" name="Textfeld 11">
                <a:extLst>
                  <a:ext uri="{FF2B5EF4-FFF2-40B4-BE49-F238E27FC236}">
                    <a16:creationId xmlns:a16="http://schemas.microsoft.com/office/drawing/2014/main" id="{A47C31EE-6F2E-4C77-B712-CFF932E532F3}"/>
                  </a:ext>
                </a:extLst>
              </xdr:cNvPr>
              <xdr:cNvSpPr txBox="1"/>
            </xdr:nvSpPr>
            <xdr:spPr>
              <a:xfrm rot="16200000">
                <a:off x="5100659" y="2466788"/>
                <a:ext cx="1320647" cy="23648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𝑙</m:t>
                      </m:r>
                      <m:d>
                        <m:dPr>
                          <m:ctrlP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𝜏</m:t>
                          </m:r>
                          <m:r>
                            <m:rPr>
                              <m:nor/>
                            </m:rPr>
                            <a:rPr lang="de-AT">
                              <a:effectLst/>
                            </a:rPr>
                            <m:t> </m:t>
                          </m:r>
                        </m:e>
                      </m:d>
                      <m:r>
                        <a:rPr lang="de-DE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,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𝑑𝑒𝑛𝑠𝑖𝑡𝑦</m:t>
                      </m:r>
                    </m:oMath>
                  </m:oMathPara>
                </a14:m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Choice>
        <mc:Fallback>
          <xdr:sp macro="" textlink="">
            <xdr:nvSpPr>
              <xdr:cNvPr id="12" name="Textfeld 11">
                <a:extLst>
                  <a:ext uri="{FF2B5EF4-FFF2-40B4-BE49-F238E27FC236}">
                    <a16:creationId xmlns:a16="http://schemas.microsoft.com/office/drawing/2014/main" id="{A47C31EE-6F2E-4C77-B712-CFF932E532F3}"/>
                  </a:ext>
                </a:extLst>
              </xdr:cNvPr>
              <xdr:cNvSpPr txBox="1"/>
            </xdr:nvSpPr>
            <xdr:spPr>
              <a:xfrm rot="16200000">
                <a:off x="5100659" y="2466788"/>
                <a:ext cx="1320647" cy="23648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𝑙(</a:t>
                </a: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+mn-ea"/>
                    <a:cs typeface="+mn-cs"/>
                  </a:rPr>
                  <a:t>𝜏"</a:t>
                </a:r>
                <a:r>
                  <a:rPr lang="de-AT" i="0">
                    <a:effectLst/>
                  </a:rPr>
                  <a:t> </a:t>
                </a:r>
                <a:r>
                  <a:rPr lang="de-AT" i="0">
                    <a:effectLst/>
                    <a:latin typeface="Cambria Math" panose="02040503050406030204" pitchFamily="18" charset="0"/>
                  </a:rPr>
                  <a:t>" )</a:t>
                </a:r>
                <a:r>
                  <a:rPr lang="de-DE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,</a:t>
                </a: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𝑑𝑒𝑛𝑠𝑖𝑡𝑦</a:t>
                </a: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" name="Textfeld 12">
                <a:extLst>
                  <a:ext uri="{FF2B5EF4-FFF2-40B4-BE49-F238E27FC236}">
                    <a16:creationId xmlns:a16="http://schemas.microsoft.com/office/drawing/2014/main" id="{52D8CD07-47D8-482B-A67C-9B1DB37C3B25}"/>
                  </a:ext>
                </a:extLst>
              </xdr:cNvPr>
              <xdr:cNvSpPr txBox="1"/>
            </xdr:nvSpPr>
            <xdr:spPr>
              <a:xfrm rot="16200000">
                <a:off x="8549366" y="2460219"/>
                <a:ext cx="1921565" cy="23648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𝐿</m:t>
                      </m:r>
                      <m:d>
                        <m:dPr>
                          <m:ctrlP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𝜏</m:t>
                          </m:r>
                        </m:e>
                      </m:d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, 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𝑐𝑢𝑚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.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𝑝𝑟𝑜𝑏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.</m:t>
                      </m:r>
                    </m:oMath>
                  </m:oMathPara>
                </a14:m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Choice>
        <mc:Fallback>
          <xdr:sp macro="" textlink="">
            <xdr:nvSpPr>
              <xdr:cNvPr id="13" name="Textfeld 12">
                <a:extLst>
                  <a:ext uri="{FF2B5EF4-FFF2-40B4-BE49-F238E27FC236}">
                    <a16:creationId xmlns:a16="http://schemas.microsoft.com/office/drawing/2014/main" id="{52D8CD07-47D8-482B-A67C-9B1DB37C3B25}"/>
                  </a:ext>
                </a:extLst>
              </xdr:cNvPr>
              <xdr:cNvSpPr txBox="1"/>
            </xdr:nvSpPr>
            <xdr:spPr>
              <a:xfrm rot="16200000">
                <a:off x="8549366" y="2460219"/>
                <a:ext cx="1921565" cy="23648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𝐿(𝜏), 𝑐𝑢𝑚.𝑝𝑟𝑜𝑏.</a:t>
                </a: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" name="Textfeld 13">
                <a:extLst>
                  <a:ext uri="{FF2B5EF4-FFF2-40B4-BE49-F238E27FC236}">
                    <a16:creationId xmlns:a16="http://schemas.microsoft.com/office/drawing/2014/main" id="{C8F784E6-6D9D-4DB2-B7E3-50976E2BBB48}"/>
                  </a:ext>
                </a:extLst>
              </xdr:cNvPr>
              <xdr:cNvSpPr txBox="1"/>
            </xdr:nvSpPr>
            <xdr:spPr>
              <a:xfrm rot="16200000">
                <a:off x="12125246" y="2465788"/>
                <a:ext cx="2220308" cy="23162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h</m:t>
                      </m:r>
                      <m:d>
                        <m:dPr>
                          <m:ctrlP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𝜏</m:t>
                          </m:r>
                        </m:e>
                      </m:d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=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𝐿</m:t>
                      </m:r>
                      <m:d>
                        <m:dPr>
                          <m:ctrlP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𝜏</m:t>
                          </m:r>
                        </m:e>
                      </m:d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𝐿</m:t>
                      </m:r>
                      <m:d>
                        <m:dPr>
                          <m:ctrlP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𝜏</m:t>
                          </m:r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−</m:t>
                          </m:r>
                          <m:r>
                            <a:rPr lang="de-AT" sz="11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1</m:t>
                          </m:r>
                        </m:e>
                      </m:d>
                      <m:r>
                        <a:rPr lang="de-DE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, </m:t>
                      </m:r>
                      <m:r>
                        <a:rPr lang="de-AT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𝑑𝑒𝑛𝑠𝑖𝑡𝑦</m:t>
                      </m:r>
                    </m:oMath>
                  </m:oMathPara>
                </a14:m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Choice>
        <mc:Fallback>
          <xdr:sp macro="" textlink="">
            <xdr:nvSpPr>
              <xdr:cNvPr id="14" name="Textfeld 13">
                <a:extLst>
                  <a:ext uri="{FF2B5EF4-FFF2-40B4-BE49-F238E27FC236}">
                    <a16:creationId xmlns:a16="http://schemas.microsoft.com/office/drawing/2014/main" id="{C8F784E6-6D9D-4DB2-B7E3-50976E2BBB48}"/>
                  </a:ext>
                </a:extLst>
              </xdr:cNvPr>
              <xdr:cNvSpPr txBox="1"/>
            </xdr:nvSpPr>
            <xdr:spPr>
              <a:xfrm rot="16200000">
                <a:off x="12125246" y="2465788"/>
                <a:ext cx="2220308" cy="231627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ℎ(𝜏)=𝐿(𝜏)−𝐿(𝜏−1)</a:t>
                </a:r>
                <a:r>
                  <a:rPr lang="de-DE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, </a:t>
                </a:r>
                <a:r>
                  <a:rPr lang="de-AT" sz="1100" b="0" i="0" baseline="0">
                    <a:solidFill>
                      <a:schemeClr val="dk1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𝑑𝑒𝑛𝑠𝑖𝑡𝑦</a:t>
                </a:r>
                <a:endParaRPr lang="de-AT" sz="1100" b="0" baseline="0">
                  <a:solidFill>
                    <a:schemeClr val="dk1"/>
                  </a:solidFill>
                  <a:effectLst/>
                  <a:ea typeface="Cambria Math" panose="02040503050406030204" pitchFamily="18" charset="0"/>
                  <a:cs typeface="+mn-cs"/>
                </a:endParaRPr>
              </a:p>
              <a:p>
                <a:pPr marL="0" marR="0" lvl="0" indent="0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lang="de-AT" sz="1100"/>
              </a:p>
            </xdr:txBody>
          </xdr:sp>
        </mc:Fallback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16</xdr:row>
      <xdr:rowOff>4762</xdr:rowOff>
    </xdr:from>
    <xdr:to>
      <xdr:col>17</xdr:col>
      <xdr:colOff>619685</xdr:colOff>
      <xdr:row>40</xdr:row>
      <xdr:rowOff>166968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7BD3F0F-60E8-4D99-8FFB-7BB695DFD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mailto:I@E" TargetMode="External"/><Relationship Id="rId1" Type="http://schemas.openxmlformats.org/officeDocument/2006/relationships/hyperlink" Target="mailto:I@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2856-7992-4A1A-BCC0-E2DF74479BAA}">
  <sheetPr codeName="Tabelle4"/>
  <dimension ref="A1:C3"/>
  <sheetViews>
    <sheetView workbookViewId="0"/>
  </sheetViews>
  <sheetFormatPr baseColWidth="10" defaultRowHeight="15" x14ac:dyDescent="0.25"/>
  <sheetData>
    <row r="1" spans="1:3" x14ac:dyDescent="0.25">
      <c r="A1" t="s">
        <v>30</v>
      </c>
    </row>
    <row r="2" spans="1:3" ht="409.5" x14ac:dyDescent="0.25">
      <c r="B2" t="s">
        <v>31</v>
      </c>
      <c r="C2" s="4" t="s">
        <v>34</v>
      </c>
    </row>
    <row r="3" spans="1:3" x14ac:dyDescent="0.25">
      <c r="B3" t="s">
        <v>32</v>
      </c>
      <c r="C3" t="s">
        <v>35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0E9B1-E195-43C3-9662-A911740F95FE}">
  <sheetPr codeName="Tabelle1"/>
  <dimension ref="A1:M58"/>
  <sheetViews>
    <sheetView tabSelected="1" zoomScaleNormal="100" workbookViewId="0">
      <selection activeCell="D31" sqref="D31"/>
    </sheetView>
  </sheetViews>
  <sheetFormatPr baseColWidth="10" defaultRowHeight="15" x14ac:dyDescent="0.25"/>
  <cols>
    <col min="2" max="3" width="13.140625" customWidth="1"/>
    <col min="14" max="14" width="3.42578125" customWidth="1"/>
    <col min="22" max="22" width="14.42578125" customWidth="1"/>
  </cols>
  <sheetData>
    <row r="1" spans="1:13" x14ac:dyDescent="0.25">
      <c r="B1" s="10" t="s">
        <v>60</v>
      </c>
      <c r="C1" s="10" t="s">
        <v>61</v>
      </c>
    </row>
    <row r="2" spans="1:13" x14ac:dyDescent="0.25">
      <c r="A2" s="8" t="s">
        <v>4</v>
      </c>
      <c r="B2" s="7" t="s">
        <v>0</v>
      </c>
      <c r="C2" s="7" t="s">
        <v>1</v>
      </c>
    </row>
    <row r="3" spans="1:13" x14ac:dyDescent="0.25">
      <c r="A3" s="9">
        <v>0</v>
      </c>
      <c r="B3">
        <f>5*SIN(A3*1.5)+10*A3</f>
        <v>0</v>
      </c>
      <c r="C3">
        <f>5*COS(A3*1.5)*1.5+10</f>
        <v>17.5</v>
      </c>
      <c r="E3" s="5"/>
      <c r="F3" s="5"/>
      <c r="G3" s="5"/>
      <c r="H3" s="5"/>
      <c r="I3" s="5"/>
      <c r="J3" s="5"/>
      <c r="K3" s="5"/>
      <c r="L3" s="5"/>
      <c r="M3" s="5"/>
    </row>
    <row r="4" spans="1:13" x14ac:dyDescent="0.25">
      <c r="A4" s="9">
        <v>0.25</v>
      </c>
      <c r="B4">
        <f t="shared" ref="B4:B19" si="0">5*SIN(A4*1.5)+10*A4</f>
        <v>4.3313626454302376</v>
      </c>
      <c r="C4">
        <f t="shared" ref="C4:C19" si="1">5*COS(A4*1.5)*1.5+10</f>
        <v>16.978807164342356</v>
      </c>
      <c r="E4" s="5"/>
      <c r="F4" s="5"/>
      <c r="G4" s="5"/>
      <c r="H4" s="5"/>
      <c r="I4" s="5"/>
      <c r="J4" s="5"/>
      <c r="K4" s="5"/>
      <c r="L4" s="5"/>
      <c r="M4" s="5"/>
    </row>
    <row r="5" spans="1:13" x14ac:dyDescent="0.25">
      <c r="A5" s="9">
        <v>0.5</v>
      </c>
      <c r="B5">
        <f t="shared" si="0"/>
        <v>8.4081938001166705</v>
      </c>
      <c r="C5">
        <f t="shared" si="1"/>
        <v>15.487666516553656</v>
      </c>
      <c r="E5" s="5"/>
      <c r="F5" s="5"/>
      <c r="G5" s="5"/>
      <c r="H5" s="5"/>
      <c r="I5" s="5"/>
      <c r="J5" s="5"/>
      <c r="K5" s="5"/>
      <c r="L5" s="5"/>
      <c r="M5" s="5"/>
    </row>
    <row r="6" spans="1:13" x14ac:dyDescent="0.25">
      <c r="A6" s="9">
        <v>0.75</v>
      </c>
      <c r="B6">
        <f t="shared" si="0"/>
        <v>12.011337970495475</v>
      </c>
      <c r="C6">
        <f t="shared" si="1"/>
        <v>13.233823875989996</v>
      </c>
      <c r="E6" s="5"/>
      <c r="F6" s="5"/>
      <c r="G6" s="5"/>
      <c r="H6" s="5"/>
      <c r="I6" s="5"/>
      <c r="J6" s="5"/>
      <c r="K6" s="5"/>
      <c r="L6" s="5"/>
      <c r="M6" s="5"/>
    </row>
    <row r="7" spans="1:13" x14ac:dyDescent="0.25">
      <c r="A7" s="9">
        <v>1</v>
      </c>
      <c r="B7">
        <f t="shared" si="0"/>
        <v>14.987474933020273</v>
      </c>
      <c r="C7">
        <f t="shared" si="1"/>
        <v>10.530529012507772</v>
      </c>
      <c r="E7" s="5"/>
      <c r="F7" s="5"/>
      <c r="G7" s="5"/>
      <c r="H7" s="5"/>
      <c r="I7" s="5"/>
      <c r="J7" s="5"/>
      <c r="K7" s="5"/>
      <c r="L7" s="5"/>
      <c r="M7" s="5"/>
    </row>
    <row r="8" spans="1:13" x14ac:dyDescent="0.25">
      <c r="A8" s="9">
        <v>1.25</v>
      </c>
      <c r="B8">
        <f t="shared" si="0"/>
        <v>17.270428908048469</v>
      </c>
      <c r="C8">
        <f t="shared" si="1"/>
        <v>7.7534987035781935</v>
      </c>
      <c r="E8" s="5"/>
      <c r="F8" s="5"/>
      <c r="G8" s="5"/>
      <c r="H8" s="5"/>
      <c r="I8" s="5"/>
      <c r="J8" s="5"/>
      <c r="K8" s="5"/>
      <c r="L8" s="5"/>
      <c r="M8" s="5"/>
    </row>
    <row r="9" spans="1:13" x14ac:dyDescent="0.25">
      <c r="A9" s="9">
        <v>1.5</v>
      </c>
      <c r="B9">
        <f t="shared" si="0"/>
        <v>18.890365984439605</v>
      </c>
      <c r="C9">
        <f t="shared" si="1"/>
        <v>5.2886978295794567</v>
      </c>
      <c r="E9" s="5"/>
      <c r="F9" s="5"/>
      <c r="G9" s="5"/>
      <c r="H9" s="5"/>
      <c r="I9" s="5"/>
      <c r="J9" s="5"/>
      <c r="K9" s="5"/>
      <c r="L9" s="5"/>
      <c r="M9" s="5"/>
    </row>
    <row r="10" spans="1:13" x14ac:dyDescent="0.25">
      <c r="A10" s="9">
        <v>1.75</v>
      </c>
      <c r="B10">
        <f t="shared" si="0"/>
        <v>19.969601493050448</v>
      </c>
      <c r="C10">
        <f t="shared" si="1"/>
        <v>3.478696139005117</v>
      </c>
      <c r="E10" s="5"/>
      <c r="F10" s="5"/>
      <c r="G10" s="5"/>
      <c r="H10" s="5"/>
      <c r="I10" s="5"/>
      <c r="J10" s="5"/>
      <c r="K10" s="5"/>
      <c r="L10" s="5"/>
      <c r="M10" s="5"/>
    </row>
    <row r="11" spans="1:13" x14ac:dyDescent="0.25">
      <c r="A11" s="9">
        <v>2</v>
      </c>
      <c r="B11">
        <f t="shared" si="0"/>
        <v>20.705600040299338</v>
      </c>
      <c r="C11">
        <f t="shared" si="1"/>
        <v>2.5750562754966602</v>
      </c>
      <c r="E11" s="5"/>
      <c r="F11" s="5"/>
      <c r="G11" s="5"/>
      <c r="H11" s="5"/>
      <c r="I11" s="5"/>
      <c r="J11" s="5"/>
      <c r="K11" s="5"/>
      <c r="L11" s="5"/>
      <c r="M11" s="5"/>
    </row>
    <row r="12" spans="1:13" x14ac:dyDescent="0.25">
      <c r="A12" s="9">
        <v>2.25</v>
      </c>
      <c r="B12">
        <f t="shared" si="0"/>
        <v>21.34353093798989</v>
      </c>
      <c r="C12">
        <f t="shared" si="1"/>
        <v>2.7033704051541516</v>
      </c>
      <c r="E12" s="5"/>
      <c r="F12" s="5"/>
      <c r="G12" s="5"/>
      <c r="H12" s="5"/>
      <c r="I12" s="5"/>
      <c r="J12" s="5"/>
      <c r="K12" s="5"/>
      <c r="L12" s="5"/>
      <c r="M12" s="5"/>
    </row>
    <row r="13" spans="1:13" x14ac:dyDescent="0.25">
      <c r="A13" s="9">
        <v>2.5</v>
      </c>
      <c r="B13">
        <f t="shared" si="0"/>
        <v>22.142193406288282</v>
      </c>
      <c r="C13">
        <f t="shared" si="1"/>
        <v>3.8458048199532948</v>
      </c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25">
      <c r="A14" s="9">
        <v>2.75</v>
      </c>
      <c r="B14">
        <f t="shared" si="0"/>
        <v>23.338047427210064</v>
      </c>
      <c r="C14">
        <f t="shared" si="1"/>
        <v>5.8435785513068748</v>
      </c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25">
      <c r="A15" s="9">
        <v>3</v>
      </c>
      <c r="B15">
        <f t="shared" si="0"/>
        <v>25.112349411674515</v>
      </c>
      <c r="C15">
        <f t="shared" si="1"/>
        <v>8.419031504269153</v>
      </c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25">
      <c r="A16" s="9">
        <v>3.25</v>
      </c>
      <c r="B16">
        <f t="shared" si="0"/>
        <v>27.565960321427795</v>
      </c>
      <c r="C16">
        <f t="shared" si="1"/>
        <v>11.214214978131526</v>
      </c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25">
      <c r="A17" s="9">
        <v>3.5</v>
      </c>
      <c r="B17">
        <f t="shared" si="0"/>
        <v>30.705327532867038</v>
      </c>
      <c r="C17">
        <f t="shared" si="1"/>
        <v>13.840641079313805</v>
      </c>
      <c r="E17" s="5"/>
      <c r="F17" s="5"/>
      <c r="G17" s="5"/>
      <c r="H17" s="5"/>
      <c r="I17" s="5"/>
      <c r="J17" s="5"/>
      <c r="K17" s="5"/>
      <c r="L17" s="5"/>
      <c r="M17" s="5"/>
    </row>
    <row r="18" spans="1:13" x14ac:dyDescent="0.25">
      <c r="A18" s="9">
        <v>3.75</v>
      </c>
      <c r="B18">
        <f t="shared" si="0"/>
        <v>34.441588750003838</v>
      </c>
      <c r="C18">
        <f t="shared" si="1"/>
        <v>15.93327661653054</v>
      </c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s="9">
        <v>4</v>
      </c>
      <c r="B19">
        <f t="shared" si="0"/>
        <v>38.602922509005367</v>
      </c>
      <c r="C19">
        <f t="shared" si="1"/>
        <v>17.201277149877747</v>
      </c>
      <c r="E19" s="5"/>
      <c r="F19" s="5"/>
      <c r="G19" s="5"/>
      <c r="H19" s="5"/>
      <c r="I19" s="5"/>
      <c r="J19" s="5"/>
      <c r="K19" s="5"/>
      <c r="L19" s="5"/>
      <c r="M19" s="5"/>
    </row>
    <row r="20" spans="1:13" x14ac:dyDescent="0.25">
      <c r="E20" s="5"/>
      <c r="F20" s="5"/>
      <c r="G20" s="5"/>
      <c r="H20" s="5"/>
      <c r="I20" s="5"/>
      <c r="J20" s="5"/>
      <c r="K20" s="5"/>
      <c r="L20" s="5"/>
      <c r="M20" s="5"/>
    </row>
    <row r="21" spans="1:13" x14ac:dyDescent="0.25">
      <c r="B21" s="10" t="s">
        <v>62</v>
      </c>
      <c r="E21" s="5"/>
      <c r="F21" s="5"/>
      <c r="G21" s="5"/>
      <c r="H21" s="5"/>
      <c r="I21" s="5"/>
      <c r="J21" s="5"/>
      <c r="K21" s="5"/>
      <c r="L21" s="5"/>
      <c r="M21" s="5"/>
    </row>
    <row r="22" spans="1:13" x14ac:dyDescent="0.25">
      <c r="A22" s="8" t="s">
        <v>4</v>
      </c>
      <c r="B22" s="7" t="s">
        <v>2</v>
      </c>
      <c r="C22" s="7" t="s">
        <v>3</v>
      </c>
      <c r="E22" s="5"/>
      <c r="F22" s="5"/>
      <c r="G22" s="5"/>
      <c r="H22" s="5"/>
      <c r="I22" s="5"/>
      <c r="J22" s="5"/>
      <c r="K22" s="5"/>
      <c r="L22" s="5"/>
      <c r="M22" s="5"/>
    </row>
    <row r="23" spans="1:13" x14ac:dyDescent="0.25">
      <c r="A23" s="9">
        <v>0</v>
      </c>
      <c r="B23">
        <f>5*SIN(A23*1.5)+10*A23</f>
        <v>0</v>
      </c>
      <c r="E23" s="5"/>
      <c r="F23" s="5"/>
      <c r="G23" s="5"/>
      <c r="H23" s="5"/>
      <c r="I23" s="5"/>
      <c r="J23" s="5"/>
      <c r="K23" s="5"/>
      <c r="L23" s="5"/>
      <c r="M23" s="5"/>
    </row>
    <row r="24" spans="1:13" x14ac:dyDescent="0.25">
      <c r="A24" s="9">
        <v>1</v>
      </c>
      <c r="B24">
        <f t="shared" ref="B24:B27" si="2">5*SIN(A24*1.5)+10*A24</f>
        <v>14.987474933020273</v>
      </c>
      <c r="C24">
        <f>(B24-B23)/(A24-A23)</f>
        <v>14.987474933020273</v>
      </c>
      <c r="E24" s="5"/>
      <c r="F24" s="5"/>
      <c r="G24" s="5"/>
      <c r="H24" s="5"/>
      <c r="I24" s="5"/>
      <c r="J24" s="5"/>
      <c r="K24" s="5"/>
      <c r="L24" s="5"/>
      <c r="M24" s="5"/>
    </row>
    <row r="25" spans="1:13" x14ac:dyDescent="0.25">
      <c r="A25" s="9">
        <v>2</v>
      </c>
      <c r="B25">
        <f t="shared" si="2"/>
        <v>20.705600040299338</v>
      </c>
      <c r="C25">
        <f t="shared" ref="C25:C27" si="3">(B25-B24)/(A25-A24)</f>
        <v>5.7181251072790644</v>
      </c>
      <c r="E25" s="5"/>
      <c r="F25" s="5"/>
      <c r="G25" s="5"/>
      <c r="H25" s="5"/>
      <c r="I25" s="5"/>
      <c r="J25" s="5"/>
      <c r="K25" s="5"/>
      <c r="L25" s="5"/>
      <c r="M25" s="5"/>
    </row>
    <row r="26" spans="1:13" x14ac:dyDescent="0.25">
      <c r="A26" s="9">
        <v>3</v>
      </c>
      <c r="B26">
        <f t="shared" si="2"/>
        <v>25.112349411674515</v>
      </c>
      <c r="C26">
        <f t="shared" si="3"/>
        <v>4.4067493713751773</v>
      </c>
      <c r="E26" s="5"/>
      <c r="F26" s="5"/>
      <c r="G26" s="5"/>
      <c r="H26" s="5"/>
      <c r="I26" s="5"/>
      <c r="J26" s="5"/>
      <c r="K26" s="5"/>
      <c r="L26" s="5"/>
      <c r="M26" s="5"/>
    </row>
    <row r="27" spans="1:13" x14ac:dyDescent="0.25">
      <c r="A27" s="9">
        <v>4</v>
      </c>
      <c r="B27">
        <f t="shared" si="2"/>
        <v>38.602922509005367</v>
      </c>
      <c r="C27">
        <f t="shared" si="3"/>
        <v>13.490573097330852</v>
      </c>
      <c r="E27" s="5"/>
      <c r="F27" s="5"/>
      <c r="G27" s="5"/>
      <c r="H27" s="5"/>
      <c r="I27" s="5"/>
      <c r="J27" s="5"/>
      <c r="K27" s="5"/>
      <c r="L27" s="5"/>
      <c r="M27" s="5"/>
    </row>
    <row r="28" spans="1:13" x14ac:dyDescent="0.25">
      <c r="E28" s="5"/>
      <c r="F28" s="5"/>
      <c r="G28" s="5"/>
      <c r="H28" s="5"/>
      <c r="I28" s="5"/>
      <c r="J28" s="5"/>
      <c r="K28" s="5"/>
      <c r="L28" s="5"/>
      <c r="M28" s="5"/>
    </row>
    <row r="29" spans="1:13" x14ac:dyDescent="0.25">
      <c r="C29" s="10" t="s">
        <v>63</v>
      </c>
      <c r="E29" s="5"/>
      <c r="F29" s="5"/>
      <c r="G29" s="5"/>
      <c r="H29" s="5"/>
      <c r="I29" s="5"/>
      <c r="J29" s="5"/>
      <c r="K29" s="5"/>
      <c r="L29" s="5"/>
      <c r="M29" s="5"/>
    </row>
    <row r="30" spans="1:13" x14ac:dyDescent="0.25">
      <c r="A30" s="8" t="s">
        <v>4</v>
      </c>
      <c r="B30" s="7"/>
      <c r="C30" s="7" t="s">
        <v>3</v>
      </c>
      <c r="E30" s="5"/>
      <c r="F30" s="5"/>
      <c r="G30" s="5"/>
      <c r="H30" s="5"/>
      <c r="I30" s="5"/>
      <c r="J30" s="5"/>
      <c r="K30" s="5"/>
      <c r="L30" s="5"/>
      <c r="M30" s="5"/>
    </row>
    <row r="31" spans="1:13" x14ac:dyDescent="0.25">
      <c r="A31" s="9">
        <v>0</v>
      </c>
      <c r="C31">
        <f>C24</f>
        <v>14.987474933020273</v>
      </c>
      <c r="E31" s="5"/>
      <c r="F31" s="5"/>
      <c r="G31" s="5"/>
      <c r="H31" s="5"/>
      <c r="I31" s="5"/>
      <c r="J31" s="5"/>
      <c r="K31" s="5"/>
      <c r="L31" s="5"/>
      <c r="M31" s="5"/>
    </row>
    <row r="32" spans="1:13" x14ac:dyDescent="0.25">
      <c r="A32" s="9">
        <v>1</v>
      </c>
      <c r="C32">
        <f>C31</f>
        <v>14.987474933020273</v>
      </c>
      <c r="E32" s="5"/>
      <c r="F32" s="5"/>
      <c r="G32" s="5"/>
      <c r="H32" s="5"/>
      <c r="I32" s="5"/>
      <c r="J32" s="5"/>
      <c r="K32" s="5"/>
      <c r="L32" s="5"/>
      <c r="M32" s="5"/>
    </row>
    <row r="33" spans="1:13" x14ac:dyDescent="0.25">
      <c r="A33" s="9"/>
      <c r="E33" s="5"/>
      <c r="F33" s="5"/>
      <c r="G33" s="5"/>
      <c r="H33" s="5"/>
      <c r="I33" s="5"/>
      <c r="J33" s="5"/>
      <c r="K33" s="5"/>
      <c r="L33" s="5"/>
      <c r="M33" s="5"/>
    </row>
    <row r="34" spans="1:13" x14ac:dyDescent="0.25">
      <c r="A34" s="9">
        <v>1</v>
      </c>
      <c r="C34">
        <f>C25</f>
        <v>5.7181251072790644</v>
      </c>
      <c r="E34" s="5"/>
      <c r="F34" s="5"/>
      <c r="G34" s="5"/>
      <c r="H34" s="5"/>
      <c r="I34" s="5"/>
      <c r="J34" s="5"/>
      <c r="K34" s="5"/>
      <c r="L34" s="5"/>
      <c r="M34" s="5"/>
    </row>
    <row r="35" spans="1:13" x14ac:dyDescent="0.25">
      <c r="A35" s="9">
        <v>2</v>
      </c>
      <c r="C35">
        <f>C34</f>
        <v>5.7181251072790644</v>
      </c>
      <c r="E35" s="5"/>
      <c r="F35" s="5"/>
      <c r="G35" s="5"/>
      <c r="H35" s="5"/>
      <c r="I35" s="5"/>
      <c r="J35" s="5"/>
      <c r="K35" s="5"/>
      <c r="L35" s="5"/>
      <c r="M35" s="5"/>
    </row>
    <row r="36" spans="1:13" x14ac:dyDescent="0.25">
      <c r="A36" s="9"/>
      <c r="E36" s="5"/>
      <c r="F36" s="5"/>
      <c r="G36" s="5"/>
      <c r="H36" s="5"/>
      <c r="I36" s="5"/>
      <c r="J36" s="5"/>
      <c r="K36" s="5"/>
      <c r="L36" s="5"/>
      <c r="M36" s="5"/>
    </row>
    <row r="37" spans="1:13" x14ac:dyDescent="0.25">
      <c r="A37" s="9">
        <v>2</v>
      </c>
      <c r="C37">
        <f>C26</f>
        <v>4.4067493713751773</v>
      </c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25">
      <c r="A38" s="9">
        <v>3</v>
      </c>
      <c r="C38">
        <f>C37</f>
        <v>4.4067493713751773</v>
      </c>
    </row>
    <row r="39" spans="1:13" x14ac:dyDescent="0.25">
      <c r="A39" s="9"/>
    </row>
    <row r="40" spans="1:13" x14ac:dyDescent="0.25">
      <c r="A40" s="9">
        <v>3</v>
      </c>
      <c r="C40">
        <f>C27</f>
        <v>13.490573097330852</v>
      </c>
    </row>
    <row r="41" spans="1:13" x14ac:dyDescent="0.25">
      <c r="A41" s="9">
        <v>4</v>
      </c>
      <c r="C41">
        <f>C40</f>
        <v>13.490573097330852</v>
      </c>
    </row>
    <row r="42" spans="1:13" x14ac:dyDescent="0.25">
      <c r="L42" s="6"/>
    </row>
    <row r="43" spans="1:13" x14ac:dyDescent="0.25">
      <c r="A43" t="s">
        <v>36</v>
      </c>
      <c r="C43" s="10" t="s">
        <v>57</v>
      </c>
      <c r="G43" s="10" t="s">
        <v>58</v>
      </c>
      <c r="H43" s="10" t="s">
        <v>59</v>
      </c>
    </row>
    <row r="44" spans="1:13" x14ac:dyDescent="0.25">
      <c r="A44" s="8" t="s">
        <v>4</v>
      </c>
      <c r="B44" s="7"/>
      <c r="C44" s="7" t="s">
        <v>1</v>
      </c>
      <c r="F44" s="8" t="s">
        <v>4</v>
      </c>
      <c r="G44" s="7" t="s">
        <v>19</v>
      </c>
      <c r="H44" s="7" t="s">
        <v>18</v>
      </c>
    </row>
    <row r="45" spans="1:13" x14ac:dyDescent="0.25">
      <c r="A45" s="9">
        <v>0</v>
      </c>
      <c r="C45">
        <v>0</v>
      </c>
      <c r="F45" s="9">
        <v>0</v>
      </c>
      <c r="G45">
        <f>B7</f>
        <v>14.987474933020273</v>
      </c>
      <c r="H45">
        <v>0</v>
      </c>
    </row>
    <row r="46" spans="1:13" x14ac:dyDescent="0.25">
      <c r="A46" s="9">
        <v>0</v>
      </c>
      <c r="C46">
        <f>C32</f>
        <v>14.987474933020273</v>
      </c>
      <c r="F46" s="9">
        <v>1</v>
      </c>
      <c r="G46">
        <f>G45</f>
        <v>14.987474933020273</v>
      </c>
      <c r="H46">
        <v>0</v>
      </c>
    </row>
    <row r="47" spans="1:13" x14ac:dyDescent="0.25">
      <c r="A47" s="9"/>
      <c r="F47" s="9"/>
    </row>
    <row r="48" spans="1:13" x14ac:dyDescent="0.25">
      <c r="A48" s="9">
        <v>1</v>
      </c>
      <c r="C48">
        <v>0</v>
      </c>
      <c r="F48" s="9">
        <v>1</v>
      </c>
      <c r="G48">
        <f>B11</f>
        <v>20.705600040299338</v>
      </c>
      <c r="H48">
        <f>G45</f>
        <v>14.987474933020273</v>
      </c>
    </row>
    <row r="49" spans="1:8" x14ac:dyDescent="0.25">
      <c r="A49" s="9">
        <v>1</v>
      </c>
      <c r="C49">
        <f>C46</f>
        <v>14.987474933020273</v>
      </c>
      <c r="F49" s="9">
        <v>2</v>
      </c>
      <c r="G49">
        <f>G48</f>
        <v>20.705600040299338</v>
      </c>
      <c r="H49">
        <f>G46</f>
        <v>14.987474933020273</v>
      </c>
    </row>
    <row r="50" spans="1:8" x14ac:dyDescent="0.25">
      <c r="A50" s="9"/>
      <c r="F50" s="9"/>
    </row>
    <row r="51" spans="1:8" x14ac:dyDescent="0.25">
      <c r="A51" s="9">
        <v>2</v>
      </c>
      <c r="C51">
        <v>0</v>
      </c>
      <c r="F51" s="9">
        <v>2</v>
      </c>
      <c r="G51">
        <f>B15</f>
        <v>25.112349411674515</v>
      </c>
      <c r="H51">
        <f>G48</f>
        <v>20.705600040299338</v>
      </c>
    </row>
    <row r="52" spans="1:8" x14ac:dyDescent="0.25">
      <c r="A52" s="9">
        <v>2</v>
      </c>
      <c r="C52">
        <f>C34</f>
        <v>5.7181251072790644</v>
      </c>
      <c r="F52" s="9">
        <v>3</v>
      </c>
      <c r="G52">
        <f>G51</f>
        <v>25.112349411674515</v>
      </c>
      <c r="H52">
        <f>G49</f>
        <v>20.705600040299338</v>
      </c>
    </row>
    <row r="53" spans="1:8" x14ac:dyDescent="0.25">
      <c r="A53" s="9"/>
      <c r="F53" s="9"/>
    </row>
    <row r="54" spans="1:8" x14ac:dyDescent="0.25">
      <c r="A54" s="9">
        <v>3</v>
      </c>
      <c r="C54">
        <v>0</v>
      </c>
      <c r="F54" s="9">
        <v>3</v>
      </c>
      <c r="G54">
        <f>B19</f>
        <v>38.602922509005367</v>
      </c>
      <c r="H54">
        <f>G51</f>
        <v>25.112349411674515</v>
      </c>
    </row>
    <row r="55" spans="1:8" x14ac:dyDescent="0.25">
      <c r="A55" s="9">
        <v>3</v>
      </c>
      <c r="C55">
        <f>C40</f>
        <v>13.490573097330852</v>
      </c>
      <c r="F55" s="9">
        <v>4</v>
      </c>
      <c r="G55">
        <f>G54</f>
        <v>38.602922509005367</v>
      </c>
      <c r="H55">
        <f>G52</f>
        <v>25.112349411674515</v>
      </c>
    </row>
    <row r="56" spans="1:8" x14ac:dyDescent="0.25">
      <c r="A56" s="9"/>
    </row>
    <row r="57" spans="1:8" x14ac:dyDescent="0.25">
      <c r="A57" s="9">
        <v>4</v>
      </c>
      <c r="C57">
        <v>0</v>
      </c>
    </row>
    <row r="58" spans="1:8" x14ac:dyDescent="0.25">
      <c r="A58" s="9">
        <v>4</v>
      </c>
      <c r="C58">
        <f>C40</f>
        <v>13.490573097330852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DA945-6B40-4B59-A0E3-630BDD8E205D}">
  <sheetPr codeName="Tabelle11"/>
  <dimension ref="A1:T43"/>
  <sheetViews>
    <sheetView zoomScaleNormal="100" workbookViewId="0">
      <selection activeCell="H26" sqref="H26"/>
    </sheetView>
  </sheetViews>
  <sheetFormatPr baseColWidth="10" defaultRowHeight="15" x14ac:dyDescent="0.25"/>
  <sheetData>
    <row r="1" spans="1:20" x14ac:dyDescent="0.25">
      <c r="A1" t="s">
        <v>6</v>
      </c>
      <c r="B1" s="10" t="s">
        <v>64</v>
      </c>
    </row>
    <row r="2" spans="1:20" x14ac:dyDescent="0.25">
      <c r="A2" s="7" t="s">
        <v>5</v>
      </c>
      <c r="B2" s="7" t="s">
        <v>0</v>
      </c>
    </row>
    <row r="3" spans="1:20" x14ac:dyDescent="0.25">
      <c r="A3">
        <v>0</v>
      </c>
      <c r="B3">
        <v>0</v>
      </c>
    </row>
    <row r="4" spans="1:20" x14ac:dyDescent="0.25">
      <c r="A4">
        <v>1</v>
      </c>
      <c r="B4">
        <v>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x14ac:dyDescent="0.25">
      <c r="A5">
        <v>1</v>
      </c>
      <c r="B5">
        <v>1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x14ac:dyDescent="0.25">
      <c r="A6">
        <v>2</v>
      </c>
      <c r="B6">
        <v>1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x14ac:dyDescent="0.25">
      <c r="A7">
        <v>2</v>
      </c>
      <c r="B7">
        <v>0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x14ac:dyDescent="0.25">
      <c r="A8">
        <v>3</v>
      </c>
      <c r="B8">
        <v>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x14ac:dyDescent="0.25">
      <c r="A9">
        <v>4</v>
      </c>
      <c r="B9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 x14ac:dyDescent="0.25">
      <c r="A10">
        <v>5</v>
      </c>
      <c r="B10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x14ac:dyDescent="0.25">
      <c r="A11">
        <v>6</v>
      </c>
      <c r="B11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x14ac:dyDescent="0.25"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25">
      <c r="A13" t="s">
        <v>37</v>
      </c>
      <c r="B13" s="10" t="s">
        <v>65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x14ac:dyDescent="0.25">
      <c r="A14" s="7" t="s">
        <v>5</v>
      </c>
      <c r="B14" s="7" t="s">
        <v>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x14ac:dyDescent="0.25">
      <c r="A15">
        <v>0</v>
      </c>
      <c r="B15">
        <v>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x14ac:dyDescent="0.25">
      <c r="A16">
        <v>1</v>
      </c>
      <c r="B16">
        <v>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x14ac:dyDescent="0.25">
      <c r="A17">
        <v>1</v>
      </c>
      <c r="B17">
        <v>0.5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x14ac:dyDescent="0.25">
      <c r="A18">
        <v>2</v>
      </c>
      <c r="B18">
        <v>0.5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x14ac:dyDescent="0.25">
      <c r="A19">
        <v>3</v>
      </c>
      <c r="B19">
        <v>0.5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x14ac:dyDescent="0.25">
      <c r="A20">
        <v>3</v>
      </c>
      <c r="B20">
        <v>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x14ac:dyDescent="0.25">
      <c r="A21">
        <v>4</v>
      </c>
      <c r="B21">
        <v>0</v>
      </c>
    </row>
    <row r="22" spans="1:20" x14ac:dyDescent="0.25">
      <c r="A22">
        <v>5</v>
      </c>
      <c r="B22">
        <v>0</v>
      </c>
    </row>
    <row r="23" spans="1:20" x14ac:dyDescent="0.25">
      <c r="A23">
        <v>6</v>
      </c>
      <c r="B23">
        <v>0</v>
      </c>
    </row>
    <row r="25" spans="1:20" x14ac:dyDescent="0.25">
      <c r="A25" t="s">
        <v>33</v>
      </c>
      <c r="B25" s="10" t="s">
        <v>66</v>
      </c>
    </row>
    <row r="26" spans="1:20" x14ac:dyDescent="0.25">
      <c r="A26" s="8" t="s">
        <v>5</v>
      </c>
      <c r="B26" s="7" t="s">
        <v>7</v>
      </c>
    </row>
    <row r="27" spans="1:20" x14ac:dyDescent="0.25">
      <c r="A27" s="9">
        <v>0</v>
      </c>
      <c r="B27">
        <v>0</v>
      </c>
    </row>
    <row r="28" spans="1:20" x14ac:dyDescent="0.25">
      <c r="A28" s="9">
        <v>1</v>
      </c>
      <c r="B28">
        <v>0</v>
      </c>
    </row>
    <row r="29" spans="1:20" x14ac:dyDescent="0.25">
      <c r="A29" s="9">
        <v>2</v>
      </c>
      <c r="B29">
        <v>0.5</v>
      </c>
    </row>
    <row r="30" spans="1:20" x14ac:dyDescent="0.25">
      <c r="A30" s="9">
        <v>3</v>
      </c>
      <c r="B30">
        <v>1</v>
      </c>
    </row>
    <row r="31" spans="1:20" x14ac:dyDescent="0.25">
      <c r="A31" s="9">
        <v>4</v>
      </c>
      <c r="B31">
        <v>1</v>
      </c>
    </row>
    <row r="32" spans="1:20" x14ac:dyDescent="0.25">
      <c r="A32" s="9">
        <v>5</v>
      </c>
      <c r="B32">
        <v>1</v>
      </c>
    </row>
    <row r="33" spans="1:2" x14ac:dyDescent="0.25">
      <c r="A33" s="9">
        <v>6</v>
      </c>
      <c r="B33">
        <v>1</v>
      </c>
    </row>
    <row r="35" spans="1:2" x14ac:dyDescent="0.25">
      <c r="A35" t="s">
        <v>8</v>
      </c>
      <c r="B35" s="10" t="s">
        <v>67</v>
      </c>
    </row>
    <row r="36" spans="1:2" x14ac:dyDescent="0.25">
      <c r="A36" s="8" t="s">
        <v>5</v>
      </c>
      <c r="B36" s="7" t="s">
        <v>0</v>
      </c>
    </row>
    <row r="37" spans="1:2" x14ac:dyDescent="0.25">
      <c r="A37" s="9">
        <v>0</v>
      </c>
      <c r="B37">
        <v>0</v>
      </c>
    </row>
    <row r="38" spans="1:2" x14ac:dyDescent="0.25">
      <c r="A38" s="9">
        <v>1</v>
      </c>
      <c r="B38">
        <v>0</v>
      </c>
    </row>
    <row r="39" spans="1:2" x14ac:dyDescent="0.25">
      <c r="A39" s="9">
        <v>2</v>
      </c>
      <c r="B39">
        <v>0</v>
      </c>
    </row>
    <row r="40" spans="1:2" x14ac:dyDescent="0.25">
      <c r="A40" s="9">
        <v>3</v>
      </c>
      <c r="B40">
        <v>0.5</v>
      </c>
    </row>
    <row r="41" spans="1:2" x14ac:dyDescent="0.25">
      <c r="A41" s="9">
        <v>4</v>
      </c>
      <c r="B41">
        <v>0.5</v>
      </c>
    </row>
    <row r="42" spans="1:2" x14ac:dyDescent="0.25">
      <c r="A42" s="9">
        <v>5</v>
      </c>
      <c r="B42">
        <v>0</v>
      </c>
    </row>
    <row r="43" spans="1:2" x14ac:dyDescent="0.25">
      <c r="A43" s="9">
        <v>6</v>
      </c>
      <c r="B43">
        <v>0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306E-3466-4778-937D-EB64E85BB482}">
  <sheetPr codeName="Tabelle10"/>
  <dimension ref="A1:Y85"/>
  <sheetViews>
    <sheetView zoomScaleNormal="100" workbookViewId="0">
      <selection activeCell="I16" sqref="I16"/>
    </sheetView>
  </sheetViews>
  <sheetFormatPr baseColWidth="10" defaultRowHeight="15" x14ac:dyDescent="0.25"/>
  <cols>
    <col min="3" max="3" width="3.5703125" customWidth="1"/>
    <col min="6" max="6" width="3.5703125" customWidth="1"/>
    <col min="8" max="9" width="12.85546875" customWidth="1"/>
    <col min="16" max="16" width="11.42578125" customWidth="1"/>
  </cols>
  <sheetData>
    <row r="1" spans="1:25" x14ac:dyDescent="0.25">
      <c r="A1" t="s">
        <v>6</v>
      </c>
      <c r="B1" s="10" t="s">
        <v>55</v>
      </c>
      <c r="C1" s="10"/>
      <c r="D1" s="10"/>
      <c r="E1" s="10" t="s">
        <v>56</v>
      </c>
      <c r="F1" s="10"/>
      <c r="G1" t="s">
        <v>33</v>
      </c>
      <c r="H1" s="10" t="s">
        <v>46</v>
      </c>
      <c r="I1" s="10" t="s">
        <v>47</v>
      </c>
    </row>
    <row r="2" spans="1:25" x14ac:dyDescent="0.25">
      <c r="A2" s="8" t="s">
        <v>5</v>
      </c>
      <c r="B2" s="7" t="s">
        <v>0</v>
      </c>
      <c r="D2" s="8" t="s">
        <v>5</v>
      </c>
      <c r="E2" s="7" t="s">
        <v>0</v>
      </c>
      <c r="G2" s="8" t="s">
        <v>5</v>
      </c>
      <c r="H2" s="7" t="s">
        <v>19</v>
      </c>
      <c r="I2" s="7" t="s">
        <v>18</v>
      </c>
    </row>
    <row r="3" spans="1:25" x14ac:dyDescent="0.25">
      <c r="A3" s="9">
        <v>0</v>
      </c>
      <c r="B3">
        <f>40/6</f>
        <v>6.666666666666667</v>
      </c>
      <c r="D3" s="9">
        <v>0</v>
      </c>
      <c r="E3">
        <v>0</v>
      </c>
      <c r="G3" s="9">
        <v>0</v>
      </c>
      <c r="H3">
        <v>0</v>
      </c>
      <c r="I3">
        <v>0</v>
      </c>
    </row>
    <row r="4" spans="1:25" x14ac:dyDescent="0.25">
      <c r="A4" s="9">
        <v>1</v>
      </c>
      <c r="B4">
        <f>B3</f>
        <v>6.666666666666667</v>
      </c>
      <c r="D4" s="9">
        <v>0</v>
      </c>
      <c r="E4">
        <f>B4</f>
        <v>6.666666666666667</v>
      </c>
      <c r="G4" s="9">
        <v>1</v>
      </c>
      <c r="H4">
        <f>B4</f>
        <v>6.666666666666667</v>
      </c>
      <c r="I4">
        <v>0</v>
      </c>
    </row>
    <row r="5" spans="1:25" x14ac:dyDescent="0.25">
      <c r="A5" s="9"/>
      <c r="D5" s="9"/>
      <c r="G5" s="9">
        <v>2</v>
      </c>
      <c r="H5">
        <f>H4+B6</f>
        <v>26.666666666666668</v>
      </c>
      <c r="I5">
        <f>H4</f>
        <v>6.666666666666667</v>
      </c>
    </row>
    <row r="6" spans="1:25" x14ac:dyDescent="0.25">
      <c r="A6" s="9">
        <v>1</v>
      </c>
      <c r="B6">
        <f>40/2</f>
        <v>20</v>
      </c>
      <c r="D6" s="9">
        <v>1</v>
      </c>
      <c r="E6">
        <v>0</v>
      </c>
      <c r="G6" s="9">
        <v>3</v>
      </c>
      <c r="H6">
        <f>H5+B9</f>
        <v>60</v>
      </c>
      <c r="I6">
        <f t="shared" ref="I6:I9" si="0">H5</f>
        <v>26.666666666666668</v>
      </c>
    </row>
    <row r="7" spans="1:25" x14ac:dyDescent="0.25">
      <c r="A7" s="9">
        <v>2</v>
      </c>
      <c r="B7">
        <f>B6</f>
        <v>20</v>
      </c>
      <c r="D7" s="9">
        <v>1</v>
      </c>
      <c r="E7">
        <f>B7</f>
        <v>20</v>
      </c>
      <c r="G7" s="9">
        <v>4</v>
      </c>
      <c r="H7">
        <f>H6+B12</f>
        <v>90</v>
      </c>
      <c r="I7">
        <f t="shared" si="0"/>
        <v>60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25" x14ac:dyDescent="0.25">
      <c r="A8" s="9"/>
      <c r="D8" s="9"/>
      <c r="G8" s="9">
        <v>5</v>
      </c>
      <c r="H8">
        <f>H7+B15</f>
        <v>100</v>
      </c>
      <c r="I8">
        <f t="shared" si="0"/>
        <v>90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25" x14ac:dyDescent="0.25">
      <c r="A9" s="9">
        <v>2</v>
      </c>
      <c r="B9">
        <f>40/6*5</f>
        <v>33.333333333333336</v>
      </c>
      <c r="D9" s="9">
        <v>2</v>
      </c>
      <c r="E9">
        <v>0</v>
      </c>
      <c r="G9" s="9">
        <v>6</v>
      </c>
      <c r="H9">
        <f>H8</f>
        <v>100</v>
      </c>
      <c r="I9">
        <f t="shared" si="0"/>
        <v>100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x14ac:dyDescent="0.25">
      <c r="A10" s="9">
        <v>3</v>
      </c>
      <c r="B10">
        <f>B9</f>
        <v>33.333333333333336</v>
      </c>
      <c r="D10" s="9">
        <v>2</v>
      </c>
      <c r="E10">
        <f>B10</f>
        <v>33.333333333333336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x14ac:dyDescent="0.25">
      <c r="A11" s="9"/>
      <c r="D11" s="9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x14ac:dyDescent="0.25">
      <c r="A12" s="9">
        <v>3</v>
      </c>
      <c r="B12">
        <f>40/4*3</f>
        <v>30</v>
      </c>
      <c r="D12" s="9">
        <v>3</v>
      </c>
      <c r="E12">
        <v>0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x14ac:dyDescent="0.25">
      <c r="A13" s="9">
        <v>4</v>
      </c>
      <c r="B13">
        <f>B12</f>
        <v>30</v>
      </c>
      <c r="D13" s="9">
        <v>3</v>
      </c>
      <c r="E13">
        <f>E10</f>
        <v>33.333333333333336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x14ac:dyDescent="0.25">
      <c r="A14" s="9"/>
      <c r="D14" s="9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 spans="1:25" x14ac:dyDescent="0.25">
      <c r="A15" s="9">
        <v>4</v>
      </c>
      <c r="B15">
        <f>40/4</f>
        <v>10</v>
      </c>
      <c r="D15" s="9">
        <v>4</v>
      </c>
      <c r="E15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25" x14ac:dyDescent="0.25">
      <c r="A16" s="9">
        <v>5</v>
      </c>
      <c r="B16">
        <f>B15</f>
        <v>10</v>
      </c>
      <c r="D16" s="9">
        <v>4</v>
      </c>
      <c r="E16">
        <f>B13</f>
        <v>30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x14ac:dyDescent="0.25">
      <c r="D17" s="9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25">
      <c r="D18" s="9">
        <v>5</v>
      </c>
      <c r="E18">
        <v>0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x14ac:dyDescent="0.25">
      <c r="D19" s="9">
        <v>5</v>
      </c>
      <c r="E19">
        <f>B16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25"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spans="1:25" x14ac:dyDescent="0.25"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3" spans="1:25" x14ac:dyDescent="0.25">
      <c r="A23" t="s">
        <v>8</v>
      </c>
      <c r="B23" s="10" t="s">
        <v>48</v>
      </c>
      <c r="D23" t="s">
        <v>20</v>
      </c>
      <c r="E23" s="10" t="s">
        <v>52</v>
      </c>
      <c r="H23" s="10" t="s">
        <v>53</v>
      </c>
      <c r="K23" s="10" t="s">
        <v>29</v>
      </c>
      <c r="L23" s="10" t="s">
        <v>42</v>
      </c>
      <c r="M23" s="10" t="s">
        <v>44</v>
      </c>
      <c r="N23" s="10" t="s">
        <v>43</v>
      </c>
      <c r="O23" s="10" t="s">
        <v>45</v>
      </c>
      <c r="P23" s="10"/>
      <c r="S23" s="10" t="s">
        <v>51</v>
      </c>
      <c r="V23" s="10" t="s">
        <v>50</v>
      </c>
    </row>
    <row r="24" spans="1:25" x14ac:dyDescent="0.25">
      <c r="A24" s="8" t="s">
        <v>5</v>
      </c>
      <c r="B24" s="7" t="s">
        <v>0</v>
      </c>
      <c r="D24" s="8" t="s">
        <v>5</v>
      </c>
      <c r="E24" s="7" t="s">
        <v>0</v>
      </c>
      <c r="G24" s="8" t="s">
        <v>5</v>
      </c>
      <c r="H24" s="7" t="s">
        <v>0</v>
      </c>
      <c r="K24" s="8" t="s">
        <v>5</v>
      </c>
      <c r="L24" s="7" t="s">
        <v>0</v>
      </c>
      <c r="M24" s="7" t="s">
        <v>18</v>
      </c>
      <c r="N24" s="7" t="s">
        <v>27</v>
      </c>
      <c r="O24" s="7" t="s">
        <v>28</v>
      </c>
      <c r="P24" s="7" t="s">
        <v>54</v>
      </c>
      <c r="R24" s="8" t="s">
        <v>5</v>
      </c>
      <c r="S24" s="7" t="s">
        <v>0</v>
      </c>
      <c r="U24" s="8" t="s">
        <v>5</v>
      </c>
      <c r="V24" s="7" t="s">
        <v>0</v>
      </c>
    </row>
    <row r="25" spans="1:25" x14ac:dyDescent="0.25">
      <c r="A25" s="9">
        <v>0</v>
      </c>
      <c r="B25">
        <v>0</v>
      </c>
      <c r="D25" s="9">
        <v>0</v>
      </c>
      <c r="E25">
        <f>(B25+B26)/2</f>
        <v>3.3333333333333335</v>
      </c>
      <c r="G25" s="9">
        <v>0</v>
      </c>
      <c r="H25">
        <v>0</v>
      </c>
      <c r="K25" s="9">
        <v>0</v>
      </c>
      <c r="L25">
        <f>40/3*K25</f>
        <v>0</v>
      </c>
      <c r="M25">
        <f>K25*L25/2</f>
        <v>0</v>
      </c>
      <c r="N25">
        <v>0</v>
      </c>
      <c r="O25">
        <f>M25-N25</f>
        <v>0</v>
      </c>
      <c r="P25">
        <v>0</v>
      </c>
      <c r="R25" s="9">
        <v>1</v>
      </c>
      <c r="S25">
        <v>0</v>
      </c>
      <c r="U25" s="9">
        <v>0</v>
      </c>
      <c r="V25">
        <f>(P35-P25)</f>
        <v>2.2333333333333334</v>
      </c>
    </row>
    <row r="26" spans="1:25" x14ac:dyDescent="0.25">
      <c r="A26" s="9">
        <v>1</v>
      </c>
      <c r="B26">
        <f>H4-I4</f>
        <v>6.666666666666667</v>
      </c>
      <c r="D26" s="9">
        <v>1</v>
      </c>
      <c r="E26">
        <f>E25</f>
        <v>3.3333333333333335</v>
      </c>
      <c r="G26" s="9">
        <v>0</v>
      </c>
      <c r="H26">
        <f>E25</f>
        <v>3.3333333333333335</v>
      </c>
      <c r="K26" s="9">
        <v>0.1</v>
      </c>
      <c r="L26">
        <f t="shared" ref="L26:L55" si="1">40/3*K26</f>
        <v>1.3333333333333335</v>
      </c>
      <c r="M26">
        <f t="shared" ref="M26:M55" si="2">K26*L26/2</f>
        <v>6.666666666666668E-2</v>
      </c>
      <c r="N26">
        <v>0</v>
      </c>
      <c r="O26">
        <f t="shared" ref="O26:O85" si="3">M26-N26</f>
        <v>6.666666666666668E-2</v>
      </c>
      <c r="P26">
        <f>P25+(O26+O25)/2*0.1</f>
        <v>3.333333333333334E-3</v>
      </c>
      <c r="R26" s="9">
        <v>1</v>
      </c>
      <c r="S26">
        <f>H4</f>
        <v>6.666666666666667</v>
      </c>
      <c r="U26" s="9">
        <v>1</v>
      </c>
      <c r="V26">
        <f>V25</f>
        <v>2.2333333333333334</v>
      </c>
    </row>
    <row r="27" spans="1:25" x14ac:dyDescent="0.25">
      <c r="A27" s="9">
        <v>2</v>
      </c>
      <c r="B27">
        <f>H5-I5</f>
        <v>20</v>
      </c>
      <c r="D27" s="9"/>
      <c r="G27" s="9"/>
      <c r="K27" s="9">
        <v>0.2</v>
      </c>
      <c r="L27">
        <f t="shared" si="1"/>
        <v>2.666666666666667</v>
      </c>
      <c r="M27">
        <f t="shared" si="2"/>
        <v>0.26666666666666672</v>
      </c>
      <c r="N27">
        <v>0</v>
      </c>
      <c r="O27">
        <f t="shared" si="3"/>
        <v>0.26666666666666672</v>
      </c>
      <c r="P27">
        <f t="shared" ref="P27:P85" si="4">P26+(O27+O26)/2*0.1</f>
        <v>2.0000000000000004E-2</v>
      </c>
      <c r="R27" s="9"/>
      <c r="U27" s="9"/>
    </row>
    <row r="28" spans="1:25" x14ac:dyDescent="0.25">
      <c r="A28" s="9">
        <v>3</v>
      </c>
      <c r="B28">
        <f>H6-I6</f>
        <v>33.333333333333329</v>
      </c>
      <c r="D28" s="9">
        <v>1</v>
      </c>
      <c r="E28">
        <f>(B26+B27)/2</f>
        <v>13.333333333333334</v>
      </c>
      <c r="G28" s="9">
        <v>1</v>
      </c>
      <c r="H28">
        <v>0</v>
      </c>
      <c r="K28" s="9">
        <v>0.3</v>
      </c>
      <c r="L28">
        <f t="shared" si="1"/>
        <v>4</v>
      </c>
      <c r="M28">
        <f t="shared" si="2"/>
        <v>0.6</v>
      </c>
      <c r="N28">
        <v>0</v>
      </c>
      <c r="O28">
        <f t="shared" si="3"/>
        <v>0.6</v>
      </c>
      <c r="P28">
        <f t="shared" si="4"/>
        <v>6.3333333333333339E-2</v>
      </c>
      <c r="R28" s="9">
        <v>2</v>
      </c>
      <c r="S28">
        <f>H4</f>
        <v>6.666666666666667</v>
      </c>
      <c r="U28" s="9">
        <v>1</v>
      </c>
      <c r="V28">
        <f>(P45-P35)</f>
        <v>13.333333333333336</v>
      </c>
    </row>
    <row r="29" spans="1:25" x14ac:dyDescent="0.25">
      <c r="A29" s="9">
        <v>4</v>
      </c>
      <c r="B29">
        <f>H7-I7</f>
        <v>30</v>
      </c>
      <c r="D29" s="9">
        <v>2</v>
      </c>
      <c r="E29">
        <f>E28</f>
        <v>13.333333333333334</v>
      </c>
      <c r="G29" s="9">
        <v>1</v>
      </c>
      <c r="H29">
        <f>E28</f>
        <v>13.333333333333334</v>
      </c>
      <c r="K29" s="9">
        <v>0.4</v>
      </c>
      <c r="L29">
        <f t="shared" si="1"/>
        <v>5.3333333333333339</v>
      </c>
      <c r="M29">
        <f t="shared" si="2"/>
        <v>1.0666666666666669</v>
      </c>
      <c r="N29">
        <v>0</v>
      </c>
      <c r="O29">
        <f t="shared" si="3"/>
        <v>1.0666666666666669</v>
      </c>
      <c r="P29">
        <f t="shared" si="4"/>
        <v>0.1466666666666667</v>
      </c>
      <c r="R29" s="9">
        <v>2</v>
      </c>
      <c r="S29">
        <f>H5</f>
        <v>26.666666666666668</v>
      </c>
      <c r="U29" s="9">
        <v>2</v>
      </c>
      <c r="V29">
        <f>V28</f>
        <v>13.333333333333336</v>
      </c>
    </row>
    <row r="30" spans="1:25" x14ac:dyDescent="0.25">
      <c r="A30" s="9">
        <v>5</v>
      </c>
      <c r="B30">
        <f>H8-I8</f>
        <v>10</v>
      </c>
      <c r="D30" s="9"/>
      <c r="G30" s="9"/>
      <c r="K30" s="9">
        <v>0.5</v>
      </c>
      <c r="L30">
        <f t="shared" si="1"/>
        <v>6.666666666666667</v>
      </c>
      <c r="M30">
        <f t="shared" si="2"/>
        <v>1.6666666666666667</v>
      </c>
      <c r="N30">
        <v>0</v>
      </c>
      <c r="O30">
        <f t="shared" si="3"/>
        <v>1.6666666666666667</v>
      </c>
      <c r="P30">
        <f t="shared" si="4"/>
        <v>0.28333333333333338</v>
      </c>
      <c r="R30" s="9"/>
      <c r="U30" s="9"/>
    </row>
    <row r="31" spans="1:25" x14ac:dyDescent="0.25">
      <c r="A31" s="9">
        <v>6</v>
      </c>
      <c r="B31">
        <f>H9-I9</f>
        <v>0</v>
      </c>
      <c r="D31" s="9">
        <v>2</v>
      </c>
      <c r="E31">
        <f>(B27+B28)/2</f>
        <v>26.666666666666664</v>
      </c>
      <c r="G31" s="9">
        <v>2</v>
      </c>
      <c r="H31">
        <v>0</v>
      </c>
      <c r="K31" s="9">
        <v>0.6</v>
      </c>
      <c r="L31">
        <f t="shared" si="1"/>
        <v>8</v>
      </c>
      <c r="M31">
        <f t="shared" si="2"/>
        <v>2.4</v>
      </c>
      <c r="N31">
        <v>0</v>
      </c>
      <c r="O31">
        <f t="shared" si="3"/>
        <v>2.4</v>
      </c>
      <c r="P31">
        <f t="shared" si="4"/>
        <v>0.48666666666666669</v>
      </c>
      <c r="R31" s="9">
        <v>3</v>
      </c>
      <c r="S31">
        <f>H5</f>
        <v>26.666666666666668</v>
      </c>
      <c r="U31" s="9">
        <v>2</v>
      </c>
      <c r="V31">
        <f>(P55-P45)</f>
        <v>26.666666666666664</v>
      </c>
    </row>
    <row r="32" spans="1:25" x14ac:dyDescent="0.25">
      <c r="D32" s="9">
        <v>3</v>
      </c>
      <c r="E32">
        <f>E31</f>
        <v>26.666666666666664</v>
      </c>
      <c r="G32" s="9">
        <v>2</v>
      </c>
      <c r="H32">
        <f>E31</f>
        <v>26.666666666666664</v>
      </c>
      <c r="K32" s="9">
        <v>0.7</v>
      </c>
      <c r="L32">
        <f t="shared" si="1"/>
        <v>9.3333333333333339</v>
      </c>
      <c r="M32">
        <f t="shared" si="2"/>
        <v>3.2666666666666666</v>
      </c>
      <c r="N32">
        <v>0</v>
      </c>
      <c r="O32">
        <f t="shared" si="3"/>
        <v>3.2666666666666666</v>
      </c>
      <c r="P32">
        <f t="shared" si="4"/>
        <v>0.77</v>
      </c>
      <c r="R32" s="9">
        <v>3</v>
      </c>
      <c r="S32">
        <f>H6</f>
        <v>60</v>
      </c>
      <c r="U32" s="9">
        <v>3</v>
      </c>
      <c r="V32">
        <f>V31</f>
        <v>26.666666666666664</v>
      </c>
    </row>
    <row r="33" spans="4:22" x14ac:dyDescent="0.25">
      <c r="D33" s="9"/>
      <c r="G33" s="9"/>
      <c r="K33" s="9">
        <v>0.8</v>
      </c>
      <c r="L33">
        <f t="shared" si="1"/>
        <v>10.666666666666668</v>
      </c>
      <c r="M33">
        <f t="shared" si="2"/>
        <v>4.2666666666666675</v>
      </c>
      <c r="N33">
        <v>0</v>
      </c>
      <c r="O33">
        <f t="shared" si="3"/>
        <v>4.2666666666666675</v>
      </c>
      <c r="P33">
        <f t="shared" si="4"/>
        <v>1.1466666666666667</v>
      </c>
      <c r="R33" s="9"/>
      <c r="U33" s="9"/>
    </row>
    <row r="34" spans="4:22" x14ac:dyDescent="0.25">
      <c r="D34" s="9">
        <v>3</v>
      </c>
      <c r="E34">
        <f>(B28+B29)/2</f>
        <v>31.666666666666664</v>
      </c>
      <c r="G34" s="9">
        <v>3</v>
      </c>
      <c r="H34">
        <v>0</v>
      </c>
      <c r="K34" s="9">
        <v>0.9</v>
      </c>
      <c r="L34">
        <f t="shared" si="1"/>
        <v>12</v>
      </c>
      <c r="M34">
        <f t="shared" si="2"/>
        <v>5.4</v>
      </c>
      <c r="N34">
        <v>0</v>
      </c>
      <c r="O34">
        <f t="shared" si="3"/>
        <v>5.4</v>
      </c>
      <c r="P34">
        <f t="shared" si="4"/>
        <v>1.6300000000000001</v>
      </c>
      <c r="R34" s="9">
        <v>4</v>
      </c>
      <c r="S34">
        <f>H6</f>
        <v>60</v>
      </c>
      <c r="U34" s="9">
        <v>3</v>
      </c>
      <c r="V34">
        <f>(P65-P55)</f>
        <v>34.416666666666671</v>
      </c>
    </row>
    <row r="35" spans="4:22" x14ac:dyDescent="0.25">
      <c r="D35" s="9">
        <v>4</v>
      </c>
      <c r="E35">
        <f>E34</f>
        <v>31.666666666666664</v>
      </c>
      <c r="G35" s="9">
        <v>3</v>
      </c>
      <c r="H35">
        <f>E34</f>
        <v>31.666666666666664</v>
      </c>
      <c r="K35" s="9">
        <v>1</v>
      </c>
      <c r="L35">
        <f t="shared" si="1"/>
        <v>13.333333333333334</v>
      </c>
      <c r="M35">
        <f t="shared" si="2"/>
        <v>6.666666666666667</v>
      </c>
      <c r="N35">
        <f>M25</f>
        <v>0</v>
      </c>
      <c r="O35">
        <f t="shared" si="3"/>
        <v>6.666666666666667</v>
      </c>
      <c r="P35">
        <f t="shared" si="4"/>
        <v>2.2333333333333334</v>
      </c>
      <c r="R35" s="9">
        <v>4</v>
      </c>
      <c r="S35">
        <f>H7</f>
        <v>90</v>
      </c>
      <c r="U35" s="9">
        <v>4</v>
      </c>
      <c r="V35">
        <f>V34</f>
        <v>34.416666666666671</v>
      </c>
    </row>
    <row r="36" spans="4:22" x14ac:dyDescent="0.25">
      <c r="D36" s="9"/>
      <c r="G36" s="9"/>
      <c r="K36" s="9">
        <v>1.1000000000000001</v>
      </c>
      <c r="L36">
        <f t="shared" si="1"/>
        <v>14.666666666666668</v>
      </c>
      <c r="M36">
        <f t="shared" si="2"/>
        <v>8.0666666666666682</v>
      </c>
      <c r="N36">
        <f t="shared" ref="N36:N85" si="5">M26</f>
        <v>6.666666666666668E-2</v>
      </c>
      <c r="O36">
        <f t="shared" si="3"/>
        <v>8.0000000000000018</v>
      </c>
      <c r="P36">
        <f t="shared" si="4"/>
        <v>2.9666666666666668</v>
      </c>
      <c r="R36" s="9"/>
      <c r="U36" s="9"/>
    </row>
    <row r="37" spans="4:22" x14ac:dyDescent="0.25">
      <c r="D37" s="9">
        <v>4</v>
      </c>
      <c r="E37">
        <f>(B29+B30)/2</f>
        <v>20</v>
      </c>
      <c r="G37" s="9">
        <v>4</v>
      </c>
      <c r="H37">
        <v>0</v>
      </c>
      <c r="K37" s="9">
        <v>1.2</v>
      </c>
      <c r="L37">
        <f t="shared" si="1"/>
        <v>16</v>
      </c>
      <c r="M37">
        <f t="shared" si="2"/>
        <v>9.6</v>
      </c>
      <c r="N37">
        <f t="shared" si="5"/>
        <v>0.26666666666666672</v>
      </c>
      <c r="O37">
        <f t="shared" si="3"/>
        <v>9.3333333333333321</v>
      </c>
      <c r="P37">
        <f t="shared" si="4"/>
        <v>3.8333333333333335</v>
      </c>
      <c r="R37" s="9">
        <v>5</v>
      </c>
      <c r="S37">
        <f>H7</f>
        <v>90</v>
      </c>
      <c r="U37" s="9">
        <v>4</v>
      </c>
      <c r="V37">
        <f>(P75-P65)</f>
        <v>20</v>
      </c>
    </row>
    <row r="38" spans="4:22" x14ac:dyDescent="0.25">
      <c r="D38" s="9">
        <v>5</v>
      </c>
      <c r="E38">
        <f>E37</f>
        <v>20</v>
      </c>
      <c r="G38" s="9">
        <v>4</v>
      </c>
      <c r="H38">
        <f>E34</f>
        <v>31.666666666666664</v>
      </c>
      <c r="K38" s="9">
        <v>1.3</v>
      </c>
      <c r="L38">
        <f t="shared" si="1"/>
        <v>17.333333333333336</v>
      </c>
      <c r="M38">
        <f t="shared" si="2"/>
        <v>11.266666666666669</v>
      </c>
      <c r="N38">
        <f t="shared" si="5"/>
        <v>0.6</v>
      </c>
      <c r="O38">
        <f t="shared" si="3"/>
        <v>10.66666666666667</v>
      </c>
      <c r="P38">
        <f t="shared" si="4"/>
        <v>4.8333333333333339</v>
      </c>
      <c r="R38" s="9">
        <v>5</v>
      </c>
      <c r="S38">
        <f>H8</f>
        <v>100</v>
      </c>
      <c r="U38" s="9">
        <v>5</v>
      </c>
      <c r="V38">
        <f>V37</f>
        <v>20</v>
      </c>
    </row>
    <row r="39" spans="4:22" x14ac:dyDescent="0.25">
      <c r="D39" s="9"/>
      <c r="G39" s="9"/>
      <c r="K39" s="9">
        <v>1.4</v>
      </c>
      <c r="L39">
        <f t="shared" si="1"/>
        <v>18.666666666666668</v>
      </c>
      <c r="M39">
        <f t="shared" si="2"/>
        <v>13.066666666666666</v>
      </c>
      <c r="N39">
        <f t="shared" si="5"/>
        <v>1.0666666666666669</v>
      </c>
      <c r="O39">
        <f t="shared" si="3"/>
        <v>12</v>
      </c>
      <c r="P39">
        <f t="shared" si="4"/>
        <v>5.9666666666666677</v>
      </c>
      <c r="U39" s="9"/>
    </row>
    <row r="40" spans="4:22" x14ac:dyDescent="0.25">
      <c r="D40" s="9">
        <v>5</v>
      </c>
      <c r="E40">
        <f>(B30+B31)/2</f>
        <v>5</v>
      </c>
      <c r="G40" s="9">
        <v>5</v>
      </c>
      <c r="H40">
        <v>0</v>
      </c>
      <c r="K40" s="9">
        <v>1.5</v>
      </c>
      <c r="L40">
        <f t="shared" si="1"/>
        <v>20</v>
      </c>
      <c r="M40">
        <f t="shared" si="2"/>
        <v>15</v>
      </c>
      <c r="N40">
        <f t="shared" si="5"/>
        <v>1.6666666666666667</v>
      </c>
      <c r="O40">
        <f t="shared" si="3"/>
        <v>13.333333333333334</v>
      </c>
      <c r="P40">
        <f t="shared" si="4"/>
        <v>7.2333333333333343</v>
      </c>
      <c r="S40" s="10" t="s">
        <v>49</v>
      </c>
      <c r="U40" s="9">
        <v>5</v>
      </c>
      <c r="V40">
        <f>(P85-P75)</f>
        <v>3.3499999999999801</v>
      </c>
    </row>
    <row r="41" spans="4:22" x14ac:dyDescent="0.25">
      <c r="D41" s="9">
        <v>6</v>
      </c>
      <c r="E41">
        <f>E40</f>
        <v>5</v>
      </c>
      <c r="G41" s="9">
        <v>5</v>
      </c>
      <c r="H41">
        <f>E37</f>
        <v>20</v>
      </c>
      <c r="K41" s="9">
        <v>1.6</v>
      </c>
      <c r="L41">
        <f t="shared" si="1"/>
        <v>21.333333333333336</v>
      </c>
      <c r="M41">
        <f t="shared" si="2"/>
        <v>17.06666666666667</v>
      </c>
      <c r="N41">
        <f t="shared" si="5"/>
        <v>2.4</v>
      </c>
      <c r="O41">
        <f t="shared" si="3"/>
        <v>14.66666666666667</v>
      </c>
      <c r="P41">
        <f t="shared" si="4"/>
        <v>8.6333333333333346</v>
      </c>
      <c r="R41" s="8" t="s">
        <v>5</v>
      </c>
      <c r="S41" s="7" t="s">
        <v>0</v>
      </c>
      <c r="U41" s="9">
        <v>6</v>
      </c>
      <c r="V41">
        <f>V40</f>
        <v>3.3499999999999801</v>
      </c>
    </row>
    <row r="42" spans="4:22" x14ac:dyDescent="0.25">
      <c r="G42" s="9"/>
      <c r="K42" s="9">
        <v>1.7</v>
      </c>
      <c r="L42">
        <f t="shared" si="1"/>
        <v>22.666666666666668</v>
      </c>
      <c r="M42">
        <f t="shared" si="2"/>
        <v>19.266666666666666</v>
      </c>
      <c r="N42">
        <f t="shared" si="5"/>
        <v>3.2666666666666666</v>
      </c>
      <c r="O42">
        <f t="shared" si="3"/>
        <v>16</v>
      </c>
      <c r="P42">
        <f t="shared" si="4"/>
        <v>10.166666666666668</v>
      </c>
      <c r="R42" s="9">
        <v>1</v>
      </c>
      <c r="S42">
        <f>S26</f>
        <v>6.666666666666667</v>
      </c>
    </row>
    <row r="43" spans="4:22" x14ac:dyDescent="0.25">
      <c r="G43" s="9">
        <v>6</v>
      </c>
      <c r="H43">
        <v>0</v>
      </c>
      <c r="K43" s="9">
        <v>1.8</v>
      </c>
      <c r="L43">
        <f t="shared" si="1"/>
        <v>24</v>
      </c>
      <c r="M43">
        <f t="shared" si="2"/>
        <v>21.6</v>
      </c>
      <c r="N43">
        <f t="shared" si="5"/>
        <v>4.2666666666666675</v>
      </c>
      <c r="O43">
        <f t="shared" si="3"/>
        <v>17.333333333333336</v>
      </c>
      <c r="P43">
        <f t="shared" si="4"/>
        <v>11.833333333333336</v>
      </c>
      <c r="R43" s="9">
        <v>2</v>
      </c>
      <c r="S43">
        <f>S28</f>
        <v>6.666666666666667</v>
      </c>
    </row>
    <row r="44" spans="4:22" x14ac:dyDescent="0.25">
      <c r="G44" s="9">
        <v>6</v>
      </c>
      <c r="H44">
        <f>E40</f>
        <v>5</v>
      </c>
      <c r="K44" s="9">
        <v>1.9</v>
      </c>
      <c r="L44">
        <f t="shared" si="1"/>
        <v>25.333333333333332</v>
      </c>
      <c r="M44">
        <f t="shared" si="2"/>
        <v>24.066666666666663</v>
      </c>
      <c r="N44">
        <f t="shared" si="5"/>
        <v>5.4</v>
      </c>
      <c r="O44">
        <f t="shared" si="3"/>
        <v>18.666666666666664</v>
      </c>
      <c r="P44">
        <f t="shared" si="4"/>
        <v>13.633333333333336</v>
      </c>
      <c r="R44" s="9"/>
    </row>
    <row r="45" spans="4:22" x14ac:dyDescent="0.25">
      <c r="K45" s="9">
        <v>2</v>
      </c>
      <c r="L45">
        <f t="shared" si="1"/>
        <v>26.666666666666668</v>
      </c>
      <c r="M45">
        <f t="shared" si="2"/>
        <v>26.666666666666668</v>
      </c>
      <c r="N45">
        <f t="shared" si="5"/>
        <v>6.666666666666667</v>
      </c>
      <c r="O45">
        <f t="shared" si="3"/>
        <v>20</v>
      </c>
      <c r="P45">
        <f t="shared" si="4"/>
        <v>15.56666666666667</v>
      </c>
      <c r="R45" s="9">
        <v>2</v>
      </c>
      <c r="S45">
        <f>S29</f>
        <v>26.666666666666668</v>
      </c>
    </row>
    <row r="46" spans="4:22" x14ac:dyDescent="0.25">
      <c r="K46" s="9">
        <v>2.1</v>
      </c>
      <c r="L46">
        <f t="shared" si="1"/>
        <v>28.000000000000004</v>
      </c>
      <c r="M46">
        <f t="shared" si="2"/>
        <v>29.400000000000006</v>
      </c>
      <c r="N46">
        <f t="shared" si="5"/>
        <v>8.0666666666666682</v>
      </c>
      <c r="O46">
        <f t="shared" si="3"/>
        <v>21.333333333333336</v>
      </c>
      <c r="P46">
        <f t="shared" si="4"/>
        <v>17.633333333333336</v>
      </c>
      <c r="R46" s="9">
        <v>3</v>
      </c>
      <c r="S46">
        <f>S31</f>
        <v>26.666666666666668</v>
      </c>
    </row>
    <row r="47" spans="4:22" x14ac:dyDescent="0.25">
      <c r="K47" s="9">
        <v>2.2000000000000002</v>
      </c>
      <c r="L47">
        <f t="shared" si="1"/>
        <v>29.333333333333336</v>
      </c>
      <c r="M47">
        <f t="shared" si="2"/>
        <v>32.266666666666673</v>
      </c>
      <c r="N47">
        <f t="shared" si="5"/>
        <v>9.6</v>
      </c>
      <c r="O47">
        <f t="shared" si="3"/>
        <v>22.666666666666671</v>
      </c>
      <c r="P47">
        <f t="shared" si="4"/>
        <v>19.833333333333336</v>
      </c>
      <c r="R47" s="9"/>
    </row>
    <row r="48" spans="4:22" x14ac:dyDescent="0.25">
      <c r="K48" s="9">
        <v>2.2999999999999998</v>
      </c>
      <c r="L48">
        <f t="shared" si="1"/>
        <v>30.666666666666664</v>
      </c>
      <c r="M48">
        <f t="shared" si="2"/>
        <v>35.266666666666659</v>
      </c>
      <c r="N48">
        <f t="shared" si="5"/>
        <v>11.266666666666669</v>
      </c>
      <c r="O48">
        <f t="shared" si="3"/>
        <v>23.999999999999989</v>
      </c>
      <c r="P48">
        <f t="shared" si="4"/>
        <v>22.166666666666668</v>
      </c>
      <c r="R48" s="9">
        <v>3</v>
      </c>
      <c r="S48">
        <f>S32</f>
        <v>60</v>
      </c>
    </row>
    <row r="49" spans="11:19" x14ac:dyDescent="0.25">
      <c r="K49" s="9">
        <v>2.4</v>
      </c>
      <c r="L49">
        <f t="shared" si="1"/>
        <v>32</v>
      </c>
      <c r="M49">
        <f t="shared" si="2"/>
        <v>38.4</v>
      </c>
      <c r="N49">
        <f t="shared" si="5"/>
        <v>13.066666666666666</v>
      </c>
      <c r="O49">
        <f t="shared" si="3"/>
        <v>25.333333333333332</v>
      </c>
      <c r="P49">
        <f t="shared" si="4"/>
        <v>24.633333333333333</v>
      </c>
      <c r="R49" s="9">
        <v>4</v>
      </c>
      <c r="S49">
        <f>S34</f>
        <v>60</v>
      </c>
    </row>
    <row r="50" spans="11:19" x14ac:dyDescent="0.25">
      <c r="K50" s="9">
        <v>2.5</v>
      </c>
      <c r="L50">
        <f t="shared" si="1"/>
        <v>33.333333333333336</v>
      </c>
      <c r="M50">
        <f t="shared" si="2"/>
        <v>41.666666666666671</v>
      </c>
      <c r="N50">
        <f t="shared" si="5"/>
        <v>15</v>
      </c>
      <c r="O50">
        <f t="shared" si="3"/>
        <v>26.666666666666671</v>
      </c>
      <c r="P50">
        <f t="shared" si="4"/>
        <v>27.233333333333334</v>
      </c>
      <c r="R50" s="9"/>
    </row>
    <row r="51" spans="11:19" x14ac:dyDescent="0.25">
      <c r="K51" s="9">
        <v>2.6</v>
      </c>
      <c r="L51">
        <f t="shared" si="1"/>
        <v>34.666666666666671</v>
      </c>
      <c r="M51">
        <f t="shared" si="2"/>
        <v>45.066666666666677</v>
      </c>
      <c r="N51">
        <f t="shared" si="5"/>
        <v>17.06666666666667</v>
      </c>
      <c r="O51">
        <f t="shared" si="3"/>
        <v>28.000000000000007</v>
      </c>
      <c r="P51">
        <f t="shared" si="4"/>
        <v>29.966666666666669</v>
      </c>
      <c r="R51" s="9">
        <v>4</v>
      </c>
      <c r="S51">
        <f>S35</f>
        <v>90</v>
      </c>
    </row>
    <row r="52" spans="11:19" x14ac:dyDescent="0.25">
      <c r="K52" s="9">
        <v>2.7</v>
      </c>
      <c r="L52">
        <f t="shared" si="1"/>
        <v>36.000000000000007</v>
      </c>
      <c r="M52">
        <f t="shared" si="2"/>
        <v>48.600000000000016</v>
      </c>
      <c r="N52">
        <f t="shared" si="5"/>
        <v>19.266666666666666</v>
      </c>
      <c r="O52">
        <f t="shared" si="3"/>
        <v>29.33333333333335</v>
      </c>
      <c r="P52">
        <f t="shared" si="4"/>
        <v>32.833333333333336</v>
      </c>
      <c r="R52" s="9">
        <v>5</v>
      </c>
      <c r="S52">
        <f>S37</f>
        <v>90</v>
      </c>
    </row>
    <row r="53" spans="11:19" x14ac:dyDescent="0.25">
      <c r="K53" s="9">
        <v>2.8</v>
      </c>
      <c r="L53">
        <f t="shared" si="1"/>
        <v>37.333333333333336</v>
      </c>
      <c r="M53">
        <f t="shared" si="2"/>
        <v>52.266666666666666</v>
      </c>
      <c r="N53">
        <f t="shared" si="5"/>
        <v>21.6</v>
      </c>
      <c r="O53">
        <f t="shared" si="3"/>
        <v>30.666666666666664</v>
      </c>
      <c r="P53">
        <f t="shared" si="4"/>
        <v>35.833333333333336</v>
      </c>
    </row>
    <row r="54" spans="11:19" x14ac:dyDescent="0.25">
      <c r="K54" s="9">
        <v>2.9</v>
      </c>
      <c r="L54">
        <f t="shared" si="1"/>
        <v>38.666666666666664</v>
      </c>
      <c r="M54">
        <f t="shared" si="2"/>
        <v>56.066666666666663</v>
      </c>
      <c r="N54">
        <f t="shared" si="5"/>
        <v>24.066666666666663</v>
      </c>
      <c r="O54">
        <f t="shared" si="3"/>
        <v>32</v>
      </c>
      <c r="P54">
        <f t="shared" si="4"/>
        <v>38.966666666666669</v>
      </c>
    </row>
    <row r="55" spans="11:19" x14ac:dyDescent="0.25">
      <c r="K55" s="9">
        <v>3</v>
      </c>
      <c r="L55">
        <f t="shared" si="1"/>
        <v>40</v>
      </c>
      <c r="M55">
        <f t="shared" si="2"/>
        <v>60</v>
      </c>
      <c r="N55">
        <f t="shared" si="5"/>
        <v>26.666666666666668</v>
      </c>
      <c r="O55">
        <f t="shared" si="3"/>
        <v>33.333333333333329</v>
      </c>
      <c r="P55">
        <f t="shared" si="4"/>
        <v>42.233333333333334</v>
      </c>
    </row>
    <row r="56" spans="11:19" x14ac:dyDescent="0.25">
      <c r="K56" s="9">
        <v>3.1</v>
      </c>
      <c r="L56">
        <f>100-40/2*K56</f>
        <v>38</v>
      </c>
      <c r="M56">
        <f>$M$55+40*2/2-(5-K56)*L56/2</f>
        <v>63.9</v>
      </c>
      <c r="N56">
        <f t="shared" si="5"/>
        <v>29.400000000000006</v>
      </c>
      <c r="O56">
        <f t="shared" si="3"/>
        <v>34.499999999999993</v>
      </c>
      <c r="P56">
        <f t="shared" si="4"/>
        <v>45.625</v>
      </c>
    </row>
    <row r="57" spans="11:19" x14ac:dyDescent="0.25">
      <c r="K57" s="9">
        <v>3.2</v>
      </c>
      <c r="L57">
        <f t="shared" ref="L57:L75" si="6">100-40/2*K57</f>
        <v>36</v>
      </c>
      <c r="M57">
        <f t="shared" ref="M57:M75" si="7">$M$55+40*2/2-(5-K57)*L57/2</f>
        <v>67.599999999999994</v>
      </c>
      <c r="N57">
        <f t="shared" si="5"/>
        <v>32.266666666666673</v>
      </c>
      <c r="O57">
        <f t="shared" si="3"/>
        <v>35.333333333333321</v>
      </c>
      <c r="P57">
        <f t="shared" si="4"/>
        <v>49.116666666666667</v>
      </c>
    </row>
    <row r="58" spans="11:19" x14ac:dyDescent="0.25">
      <c r="K58" s="9">
        <v>3.3</v>
      </c>
      <c r="L58">
        <f t="shared" si="6"/>
        <v>34</v>
      </c>
      <c r="M58">
        <f t="shared" si="7"/>
        <v>71.099999999999994</v>
      </c>
      <c r="N58">
        <f t="shared" si="5"/>
        <v>35.266666666666659</v>
      </c>
      <c r="O58">
        <f t="shared" si="3"/>
        <v>35.833333333333336</v>
      </c>
      <c r="P58">
        <f t="shared" si="4"/>
        <v>52.674999999999997</v>
      </c>
    </row>
    <row r="59" spans="11:19" x14ac:dyDescent="0.25">
      <c r="K59" s="9">
        <v>3.4</v>
      </c>
      <c r="L59">
        <f t="shared" si="6"/>
        <v>32</v>
      </c>
      <c r="M59">
        <f t="shared" si="7"/>
        <v>74.400000000000006</v>
      </c>
      <c r="N59">
        <f t="shared" si="5"/>
        <v>38.4</v>
      </c>
      <c r="O59">
        <f t="shared" si="3"/>
        <v>36.000000000000007</v>
      </c>
      <c r="P59">
        <f t="shared" si="4"/>
        <v>56.266666666666666</v>
      </c>
    </row>
    <row r="60" spans="11:19" x14ac:dyDescent="0.25">
      <c r="K60" s="9">
        <v>3.5</v>
      </c>
      <c r="L60">
        <f t="shared" si="6"/>
        <v>30</v>
      </c>
      <c r="M60">
        <f t="shared" si="7"/>
        <v>77.5</v>
      </c>
      <c r="N60">
        <f t="shared" si="5"/>
        <v>41.666666666666671</v>
      </c>
      <c r="O60">
        <f t="shared" si="3"/>
        <v>35.833333333333329</v>
      </c>
      <c r="P60">
        <f t="shared" si="4"/>
        <v>59.858333333333334</v>
      </c>
    </row>
    <row r="61" spans="11:19" x14ac:dyDescent="0.25">
      <c r="K61" s="9">
        <v>3.6</v>
      </c>
      <c r="L61">
        <f t="shared" si="6"/>
        <v>28</v>
      </c>
      <c r="M61">
        <f t="shared" si="7"/>
        <v>80.400000000000006</v>
      </c>
      <c r="N61">
        <f t="shared" si="5"/>
        <v>45.066666666666677</v>
      </c>
      <c r="O61">
        <f t="shared" si="3"/>
        <v>35.333333333333329</v>
      </c>
      <c r="P61">
        <f t="shared" si="4"/>
        <v>63.416666666666664</v>
      </c>
    </row>
    <row r="62" spans="11:19" x14ac:dyDescent="0.25">
      <c r="K62" s="9">
        <v>3.7</v>
      </c>
      <c r="L62">
        <f t="shared" si="6"/>
        <v>26</v>
      </c>
      <c r="M62">
        <f t="shared" si="7"/>
        <v>83.1</v>
      </c>
      <c r="N62">
        <f t="shared" si="5"/>
        <v>48.600000000000016</v>
      </c>
      <c r="O62">
        <f t="shared" si="3"/>
        <v>34.499999999999979</v>
      </c>
      <c r="P62">
        <f t="shared" si="4"/>
        <v>66.908333333333331</v>
      </c>
    </row>
    <row r="63" spans="11:19" x14ac:dyDescent="0.25">
      <c r="K63" s="9">
        <v>3.8</v>
      </c>
      <c r="L63">
        <f t="shared" si="6"/>
        <v>24</v>
      </c>
      <c r="M63">
        <f t="shared" si="7"/>
        <v>85.6</v>
      </c>
      <c r="N63">
        <f t="shared" si="5"/>
        <v>52.266666666666666</v>
      </c>
      <c r="O63">
        <f t="shared" si="3"/>
        <v>33.333333333333329</v>
      </c>
      <c r="P63">
        <f t="shared" si="4"/>
        <v>70.3</v>
      </c>
    </row>
    <row r="64" spans="11:19" x14ac:dyDescent="0.25">
      <c r="K64" s="9">
        <v>3.9</v>
      </c>
      <c r="L64">
        <f t="shared" si="6"/>
        <v>22</v>
      </c>
      <c r="M64">
        <f t="shared" si="7"/>
        <v>87.9</v>
      </c>
      <c r="N64">
        <f t="shared" si="5"/>
        <v>56.066666666666663</v>
      </c>
      <c r="O64">
        <f t="shared" si="3"/>
        <v>31.833333333333343</v>
      </c>
      <c r="P64">
        <f t="shared" si="4"/>
        <v>73.558333333333337</v>
      </c>
    </row>
    <row r="65" spans="11:16" x14ac:dyDescent="0.25">
      <c r="K65" s="9">
        <v>4</v>
      </c>
      <c r="L65">
        <f t="shared" si="6"/>
        <v>20</v>
      </c>
      <c r="M65">
        <f t="shared" si="7"/>
        <v>90</v>
      </c>
      <c r="N65">
        <f t="shared" si="5"/>
        <v>60</v>
      </c>
      <c r="O65">
        <f t="shared" si="3"/>
        <v>30</v>
      </c>
      <c r="P65">
        <f t="shared" si="4"/>
        <v>76.650000000000006</v>
      </c>
    </row>
    <row r="66" spans="11:16" x14ac:dyDescent="0.25">
      <c r="K66" s="9">
        <v>4.0999999999999996</v>
      </c>
      <c r="L66">
        <f t="shared" si="6"/>
        <v>18</v>
      </c>
      <c r="M66">
        <f t="shared" si="7"/>
        <v>91.899999999999991</v>
      </c>
      <c r="N66">
        <f t="shared" si="5"/>
        <v>63.9</v>
      </c>
      <c r="O66">
        <f t="shared" si="3"/>
        <v>27.999999999999993</v>
      </c>
      <c r="P66">
        <f t="shared" si="4"/>
        <v>79.550000000000011</v>
      </c>
    </row>
    <row r="67" spans="11:16" x14ac:dyDescent="0.25">
      <c r="K67" s="9">
        <v>4.2</v>
      </c>
      <c r="L67">
        <f t="shared" si="6"/>
        <v>16</v>
      </c>
      <c r="M67">
        <f t="shared" si="7"/>
        <v>93.6</v>
      </c>
      <c r="N67">
        <f t="shared" si="5"/>
        <v>67.599999999999994</v>
      </c>
      <c r="O67">
        <f t="shared" si="3"/>
        <v>26</v>
      </c>
      <c r="P67">
        <f t="shared" si="4"/>
        <v>82.250000000000014</v>
      </c>
    </row>
    <row r="68" spans="11:16" x14ac:dyDescent="0.25">
      <c r="K68" s="9">
        <v>4.3</v>
      </c>
      <c r="L68">
        <f t="shared" si="6"/>
        <v>14</v>
      </c>
      <c r="M68">
        <f t="shared" si="7"/>
        <v>95.1</v>
      </c>
      <c r="N68">
        <f t="shared" si="5"/>
        <v>71.099999999999994</v>
      </c>
      <c r="O68">
        <f t="shared" si="3"/>
        <v>24</v>
      </c>
      <c r="P68">
        <f t="shared" si="4"/>
        <v>84.750000000000014</v>
      </c>
    </row>
    <row r="69" spans="11:16" x14ac:dyDescent="0.25">
      <c r="K69" s="9">
        <v>4.4000000000000004</v>
      </c>
      <c r="L69">
        <f t="shared" si="6"/>
        <v>12</v>
      </c>
      <c r="M69">
        <f t="shared" si="7"/>
        <v>96.4</v>
      </c>
      <c r="N69">
        <f t="shared" si="5"/>
        <v>74.400000000000006</v>
      </c>
      <c r="O69">
        <f t="shared" si="3"/>
        <v>22</v>
      </c>
      <c r="P69">
        <f t="shared" si="4"/>
        <v>87.050000000000011</v>
      </c>
    </row>
    <row r="70" spans="11:16" x14ac:dyDescent="0.25">
      <c r="K70" s="9">
        <v>4.5</v>
      </c>
      <c r="L70">
        <f t="shared" si="6"/>
        <v>10</v>
      </c>
      <c r="M70">
        <f t="shared" si="7"/>
        <v>97.5</v>
      </c>
      <c r="N70">
        <f t="shared" si="5"/>
        <v>77.5</v>
      </c>
      <c r="O70">
        <f t="shared" si="3"/>
        <v>20</v>
      </c>
      <c r="P70">
        <f t="shared" si="4"/>
        <v>89.15</v>
      </c>
    </row>
    <row r="71" spans="11:16" x14ac:dyDescent="0.25">
      <c r="K71" s="9">
        <v>4.5999999999999996</v>
      </c>
      <c r="L71">
        <f t="shared" si="6"/>
        <v>8</v>
      </c>
      <c r="M71">
        <f t="shared" si="7"/>
        <v>98.4</v>
      </c>
      <c r="N71">
        <f t="shared" si="5"/>
        <v>80.400000000000006</v>
      </c>
      <c r="O71">
        <f t="shared" si="3"/>
        <v>18</v>
      </c>
      <c r="P71">
        <f t="shared" si="4"/>
        <v>91.050000000000011</v>
      </c>
    </row>
    <row r="72" spans="11:16" x14ac:dyDescent="0.25">
      <c r="K72" s="9">
        <v>4.7</v>
      </c>
      <c r="L72">
        <f t="shared" si="6"/>
        <v>6</v>
      </c>
      <c r="M72">
        <f t="shared" si="7"/>
        <v>99.1</v>
      </c>
      <c r="N72">
        <f t="shared" si="5"/>
        <v>83.1</v>
      </c>
      <c r="O72">
        <f t="shared" si="3"/>
        <v>16</v>
      </c>
      <c r="P72">
        <f t="shared" si="4"/>
        <v>92.750000000000014</v>
      </c>
    </row>
    <row r="73" spans="11:16" x14ac:dyDescent="0.25">
      <c r="K73" s="9">
        <v>4.8</v>
      </c>
      <c r="L73">
        <f t="shared" si="6"/>
        <v>4</v>
      </c>
      <c r="M73">
        <f t="shared" si="7"/>
        <v>99.6</v>
      </c>
      <c r="N73">
        <f t="shared" si="5"/>
        <v>85.6</v>
      </c>
      <c r="O73">
        <f t="shared" si="3"/>
        <v>14</v>
      </c>
      <c r="P73">
        <f t="shared" si="4"/>
        <v>94.250000000000014</v>
      </c>
    </row>
    <row r="74" spans="11:16" x14ac:dyDescent="0.25">
      <c r="K74" s="9">
        <v>4.9000000000000004</v>
      </c>
      <c r="L74">
        <f t="shared" si="6"/>
        <v>2</v>
      </c>
      <c r="M74">
        <f t="shared" si="7"/>
        <v>99.9</v>
      </c>
      <c r="N74">
        <f t="shared" si="5"/>
        <v>87.9</v>
      </c>
      <c r="O74">
        <f t="shared" si="3"/>
        <v>12</v>
      </c>
      <c r="P74">
        <f t="shared" si="4"/>
        <v>95.550000000000011</v>
      </c>
    </row>
    <row r="75" spans="11:16" x14ac:dyDescent="0.25">
      <c r="K75" s="9">
        <v>5</v>
      </c>
      <c r="L75">
        <f t="shared" si="6"/>
        <v>0</v>
      </c>
      <c r="M75">
        <f t="shared" si="7"/>
        <v>100</v>
      </c>
      <c r="N75">
        <f t="shared" si="5"/>
        <v>90</v>
      </c>
      <c r="O75">
        <f t="shared" si="3"/>
        <v>10</v>
      </c>
      <c r="P75">
        <f t="shared" si="4"/>
        <v>96.65</v>
      </c>
    </row>
    <row r="76" spans="11:16" x14ac:dyDescent="0.25">
      <c r="K76" s="9">
        <v>5.0999999999999996</v>
      </c>
      <c r="L76">
        <f>L75</f>
        <v>0</v>
      </c>
      <c r="M76">
        <f>M75</f>
        <v>100</v>
      </c>
      <c r="N76">
        <f t="shared" si="5"/>
        <v>91.899999999999991</v>
      </c>
      <c r="O76">
        <f t="shared" si="3"/>
        <v>8.1000000000000085</v>
      </c>
      <c r="P76">
        <f t="shared" si="4"/>
        <v>97.555000000000007</v>
      </c>
    </row>
    <row r="77" spans="11:16" x14ac:dyDescent="0.25">
      <c r="K77" s="9">
        <v>5.2</v>
      </c>
      <c r="L77">
        <f t="shared" ref="L77:M85" si="8">L76</f>
        <v>0</v>
      </c>
      <c r="M77">
        <f t="shared" si="8"/>
        <v>100</v>
      </c>
      <c r="N77">
        <f t="shared" si="5"/>
        <v>93.6</v>
      </c>
      <c r="O77">
        <f t="shared" si="3"/>
        <v>6.4000000000000057</v>
      </c>
      <c r="P77">
        <f t="shared" si="4"/>
        <v>98.28</v>
      </c>
    </row>
    <row r="78" spans="11:16" x14ac:dyDescent="0.25">
      <c r="K78" s="9">
        <v>5.3</v>
      </c>
      <c r="L78">
        <f t="shared" si="8"/>
        <v>0</v>
      </c>
      <c r="M78">
        <f t="shared" si="8"/>
        <v>100</v>
      </c>
      <c r="N78">
        <f t="shared" si="5"/>
        <v>95.1</v>
      </c>
      <c r="O78">
        <f t="shared" si="3"/>
        <v>4.9000000000000057</v>
      </c>
      <c r="P78">
        <f t="shared" si="4"/>
        <v>98.844999999999999</v>
      </c>
    </row>
    <row r="79" spans="11:16" x14ac:dyDescent="0.25">
      <c r="K79" s="9">
        <v>5.4</v>
      </c>
      <c r="L79">
        <f t="shared" si="8"/>
        <v>0</v>
      </c>
      <c r="M79">
        <f t="shared" si="8"/>
        <v>100</v>
      </c>
      <c r="N79">
        <f t="shared" si="5"/>
        <v>96.4</v>
      </c>
      <c r="O79">
        <f t="shared" si="3"/>
        <v>3.5999999999999943</v>
      </c>
      <c r="P79">
        <f t="shared" si="4"/>
        <v>99.27</v>
      </c>
    </row>
    <row r="80" spans="11:16" x14ac:dyDescent="0.25">
      <c r="K80" s="9">
        <v>5.5</v>
      </c>
      <c r="L80">
        <f t="shared" si="8"/>
        <v>0</v>
      </c>
      <c r="M80">
        <f t="shared" si="8"/>
        <v>100</v>
      </c>
      <c r="N80">
        <f t="shared" si="5"/>
        <v>97.5</v>
      </c>
      <c r="O80">
        <f t="shared" si="3"/>
        <v>2.5</v>
      </c>
      <c r="P80">
        <f t="shared" si="4"/>
        <v>99.574999999999989</v>
      </c>
    </row>
    <row r="81" spans="11:16" x14ac:dyDescent="0.25">
      <c r="K81" s="9">
        <v>5.6</v>
      </c>
      <c r="L81">
        <f t="shared" si="8"/>
        <v>0</v>
      </c>
      <c r="M81">
        <f t="shared" si="8"/>
        <v>100</v>
      </c>
      <c r="N81">
        <f t="shared" si="5"/>
        <v>98.4</v>
      </c>
      <c r="O81">
        <f t="shared" si="3"/>
        <v>1.5999999999999943</v>
      </c>
      <c r="P81">
        <f t="shared" si="4"/>
        <v>99.779999999999987</v>
      </c>
    </row>
    <row r="82" spans="11:16" x14ac:dyDescent="0.25">
      <c r="K82" s="9">
        <v>5.7</v>
      </c>
      <c r="L82">
        <f t="shared" si="8"/>
        <v>0</v>
      </c>
      <c r="M82">
        <f t="shared" si="8"/>
        <v>100</v>
      </c>
      <c r="N82">
        <f t="shared" si="5"/>
        <v>99.1</v>
      </c>
      <c r="O82">
        <f t="shared" si="3"/>
        <v>0.90000000000000568</v>
      </c>
      <c r="P82">
        <f t="shared" si="4"/>
        <v>99.904999999999987</v>
      </c>
    </row>
    <row r="83" spans="11:16" x14ac:dyDescent="0.25">
      <c r="K83" s="9">
        <v>5.8</v>
      </c>
      <c r="L83">
        <f t="shared" si="8"/>
        <v>0</v>
      </c>
      <c r="M83">
        <f t="shared" si="8"/>
        <v>100</v>
      </c>
      <c r="N83">
        <f t="shared" si="5"/>
        <v>99.6</v>
      </c>
      <c r="O83">
        <f t="shared" si="3"/>
        <v>0.40000000000000568</v>
      </c>
      <c r="P83">
        <f t="shared" si="4"/>
        <v>99.969999999999985</v>
      </c>
    </row>
    <row r="84" spans="11:16" x14ac:dyDescent="0.25">
      <c r="K84" s="9">
        <v>5.9</v>
      </c>
      <c r="L84">
        <f t="shared" si="8"/>
        <v>0</v>
      </c>
      <c r="M84">
        <f t="shared" si="8"/>
        <v>100</v>
      </c>
      <c r="N84">
        <f t="shared" si="5"/>
        <v>99.9</v>
      </c>
      <c r="O84">
        <f t="shared" si="3"/>
        <v>9.9999999999994316E-2</v>
      </c>
      <c r="P84">
        <f t="shared" si="4"/>
        <v>99.99499999999999</v>
      </c>
    </row>
    <row r="85" spans="11:16" x14ac:dyDescent="0.25">
      <c r="K85" s="9">
        <v>6</v>
      </c>
      <c r="L85">
        <f t="shared" si="8"/>
        <v>0</v>
      </c>
      <c r="M85">
        <f t="shared" si="8"/>
        <v>100</v>
      </c>
      <c r="N85">
        <f t="shared" si="5"/>
        <v>100</v>
      </c>
      <c r="O85">
        <f t="shared" si="3"/>
        <v>0</v>
      </c>
      <c r="P85">
        <f t="shared" si="4"/>
        <v>99.999999999999986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93EA-F643-4E9E-A05B-040639A2BEB5}">
  <sheetPr codeName="Tabelle7"/>
  <dimension ref="A1:R449"/>
  <sheetViews>
    <sheetView zoomScaleNormal="100" workbookViewId="0">
      <selection activeCell="C2" sqref="C2"/>
    </sheetView>
  </sheetViews>
  <sheetFormatPr baseColWidth="10" defaultRowHeight="15" x14ac:dyDescent="0.25"/>
  <cols>
    <col min="1" max="1" width="14" customWidth="1"/>
    <col min="2" max="2" width="18.5703125" customWidth="1"/>
    <col min="3" max="4" width="12" bestFit="1" customWidth="1"/>
    <col min="18" max="18" width="12" bestFit="1" customWidth="1"/>
    <col min="20" max="20" width="12" bestFit="1" customWidth="1"/>
    <col min="22" max="22" width="12" bestFit="1" customWidth="1"/>
    <col min="24" max="24" width="12" bestFit="1" customWidth="1"/>
    <col min="26" max="26" width="12" bestFit="1" customWidth="1"/>
    <col min="28" max="28" width="12" bestFit="1" customWidth="1"/>
    <col min="30" max="30" width="12" bestFit="1" customWidth="1"/>
    <col min="32" max="32" width="12" bestFit="1" customWidth="1"/>
  </cols>
  <sheetData>
    <row r="1" spans="1:18" x14ac:dyDescent="0.25">
      <c r="A1" t="s">
        <v>22</v>
      </c>
      <c r="B1" t="s">
        <v>23</v>
      </c>
      <c r="C1" t="s">
        <v>24</v>
      </c>
      <c r="E1" t="s">
        <v>9</v>
      </c>
      <c r="J1" t="s">
        <v>21</v>
      </c>
    </row>
    <row r="2" spans="1:18" x14ac:dyDescent="0.25">
      <c r="A2" s="1">
        <v>0</v>
      </c>
      <c r="B2" s="1">
        <v>10</v>
      </c>
      <c r="C2" s="1">
        <v>0</v>
      </c>
      <c r="E2" t="str">
        <f>"Triangular distribution 
a = "&amp;A2&amp;", b = "&amp;B2&amp;", c = "&amp;C2</f>
        <v>Triangular distribution 
a = 0, b = 10, c = 0</v>
      </c>
      <c r="J2" s="1">
        <v>2</v>
      </c>
    </row>
    <row r="4" spans="1:18" x14ac:dyDescent="0.25">
      <c r="A4" s="8" t="s">
        <v>25</v>
      </c>
      <c r="B4" s="7">
        <v>0</v>
      </c>
      <c r="C4" s="7">
        <f>J2</f>
        <v>2</v>
      </c>
      <c r="D4" s="7">
        <f t="shared" ref="D4:Q4" si="0">C4+$J$2</f>
        <v>4</v>
      </c>
      <c r="E4" s="7">
        <f t="shared" si="0"/>
        <v>6</v>
      </c>
      <c r="F4" s="7">
        <f t="shared" si="0"/>
        <v>8</v>
      </c>
      <c r="G4" s="7">
        <f t="shared" si="0"/>
        <v>10</v>
      </c>
      <c r="H4" s="7">
        <f t="shared" si="0"/>
        <v>12</v>
      </c>
      <c r="I4" s="7">
        <f t="shared" si="0"/>
        <v>14</v>
      </c>
      <c r="J4" s="7">
        <f t="shared" si="0"/>
        <v>16</v>
      </c>
      <c r="K4" s="7">
        <f t="shared" si="0"/>
        <v>18</v>
      </c>
      <c r="L4" s="7">
        <f t="shared" si="0"/>
        <v>20</v>
      </c>
      <c r="M4" s="7">
        <f t="shared" si="0"/>
        <v>22</v>
      </c>
      <c r="N4" s="7">
        <f t="shared" si="0"/>
        <v>24</v>
      </c>
      <c r="O4" s="7">
        <f t="shared" si="0"/>
        <v>26</v>
      </c>
      <c r="P4" s="7">
        <f t="shared" si="0"/>
        <v>28</v>
      </c>
      <c r="Q4" s="7">
        <f t="shared" si="0"/>
        <v>30</v>
      </c>
      <c r="R4" s="7" t="s">
        <v>10</v>
      </c>
    </row>
    <row r="5" spans="1:18" x14ac:dyDescent="0.25">
      <c r="A5" s="9" t="s">
        <v>11</v>
      </c>
      <c r="B5" s="2">
        <f>Tria(B4,$A$2,$B$2,$C$2,0)</f>
        <v>0.2</v>
      </c>
      <c r="C5" s="2">
        <f t="shared" ref="C5:P5" si="1">Tria(C4,$A$2,$B$2,$C$2,0)</f>
        <v>0.16</v>
      </c>
      <c r="D5" s="2">
        <f t="shared" si="1"/>
        <v>0.12</v>
      </c>
      <c r="E5" s="2">
        <f t="shared" si="1"/>
        <v>0.08</v>
      </c>
      <c r="F5" s="2">
        <f t="shared" si="1"/>
        <v>0.04</v>
      </c>
      <c r="G5" s="2">
        <f t="shared" si="1"/>
        <v>0</v>
      </c>
      <c r="H5" s="2">
        <f t="shared" si="1"/>
        <v>0</v>
      </c>
      <c r="I5" s="2">
        <f t="shared" si="1"/>
        <v>0</v>
      </c>
      <c r="J5" s="2">
        <f t="shared" si="1"/>
        <v>0</v>
      </c>
      <c r="K5" s="2">
        <f t="shared" si="1"/>
        <v>0</v>
      </c>
      <c r="L5" s="2">
        <f t="shared" si="1"/>
        <v>0</v>
      </c>
      <c r="M5" s="2">
        <f t="shared" si="1"/>
        <v>0</v>
      </c>
      <c r="N5" s="2">
        <f t="shared" si="1"/>
        <v>0</v>
      </c>
      <c r="O5" s="2">
        <f t="shared" si="1"/>
        <v>0</v>
      </c>
      <c r="P5" s="2">
        <f t="shared" si="1"/>
        <v>0</v>
      </c>
      <c r="Q5" s="2">
        <f>Tria(Q4,$A$2,$B$2,$C$2,0)</f>
        <v>0</v>
      </c>
      <c r="R5" s="2">
        <f>SUM(B5:Q5)*$J$2</f>
        <v>1.2</v>
      </c>
    </row>
    <row r="6" spans="1:18" x14ac:dyDescent="0.25">
      <c r="A6" s="9" t="s">
        <v>12</v>
      </c>
      <c r="B6">
        <f>Tria(B4,$A$2,$B$2,$C$2,1)</f>
        <v>0</v>
      </c>
      <c r="C6">
        <f t="shared" ref="C6:Q6" si="2">Tria(C4,$A$2,$B$2,$C$2,1)</f>
        <v>0.36</v>
      </c>
      <c r="D6">
        <f t="shared" si="2"/>
        <v>0.64</v>
      </c>
      <c r="E6">
        <f t="shared" si="2"/>
        <v>0.84</v>
      </c>
      <c r="F6">
        <f t="shared" si="2"/>
        <v>0.96</v>
      </c>
      <c r="G6">
        <f t="shared" si="2"/>
        <v>1</v>
      </c>
      <c r="H6">
        <f t="shared" si="2"/>
        <v>1</v>
      </c>
      <c r="I6">
        <f t="shared" si="2"/>
        <v>1</v>
      </c>
      <c r="J6">
        <f t="shared" si="2"/>
        <v>1</v>
      </c>
      <c r="K6">
        <f t="shared" si="2"/>
        <v>1</v>
      </c>
      <c r="L6">
        <f t="shared" si="2"/>
        <v>1</v>
      </c>
      <c r="M6">
        <f t="shared" si="2"/>
        <v>1</v>
      </c>
      <c r="N6">
        <f t="shared" si="2"/>
        <v>1</v>
      </c>
      <c r="O6">
        <f t="shared" si="2"/>
        <v>1</v>
      </c>
      <c r="P6">
        <f t="shared" si="2"/>
        <v>1</v>
      </c>
      <c r="Q6">
        <f t="shared" si="2"/>
        <v>1</v>
      </c>
    </row>
    <row r="7" spans="1:18" x14ac:dyDescent="0.25">
      <c r="A7" s="9" t="s">
        <v>13</v>
      </c>
      <c r="B7">
        <f t="shared" ref="B7:P7" si="3">C6-B6</f>
        <v>0.36</v>
      </c>
      <c r="C7">
        <f t="shared" si="3"/>
        <v>0.28000000000000003</v>
      </c>
      <c r="D7">
        <f t="shared" si="3"/>
        <v>0.19999999999999996</v>
      </c>
      <c r="E7">
        <f t="shared" si="3"/>
        <v>0.12</v>
      </c>
      <c r="F7">
        <f t="shared" si="3"/>
        <v>4.0000000000000036E-2</v>
      </c>
      <c r="G7">
        <f t="shared" si="3"/>
        <v>0</v>
      </c>
      <c r="H7">
        <f t="shared" si="3"/>
        <v>0</v>
      </c>
      <c r="I7">
        <f t="shared" si="3"/>
        <v>0</v>
      </c>
      <c r="J7">
        <f t="shared" si="3"/>
        <v>0</v>
      </c>
      <c r="K7">
        <f t="shared" si="3"/>
        <v>0</v>
      </c>
      <c r="L7">
        <f t="shared" si="3"/>
        <v>0</v>
      </c>
      <c r="M7">
        <f t="shared" si="3"/>
        <v>0</v>
      </c>
      <c r="N7">
        <f t="shared" si="3"/>
        <v>0</v>
      </c>
      <c r="O7">
        <f t="shared" si="3"/>
        <v>0</v>
      </c>
      <c r="P7">
        <f t="shared" si="3"/>
        <v>0</v>
      </c>
      <c r="R7">
        <f>SUM(B7:P7)</f>
        <v>1</v>
      </c>
    </row>
    <row r="8" spans="1:18" x14ac:dyDescent="0.25">
      <c r="A8" s="9" t="s">
        <v>15</v>
      </c>
      <c r="B8">
        <f>B5/$R$5*$Q$6</f>
        <v>0.16666666666666669</v>
      </c>
      <c r="C8">
        <f t="shared" ref="C8:P8" si="4">C5/$R$5*$Q$6</f>
        <v>0.13333333333333333</v>
      </c>
      <c r="D8">
        <f t="shared" si="4"/>
        <v>0.1</v>
      </c>
      <c r="E8">
        <f t="shared" si="4"/>
        <v>6.6666666666666666E-2</v>
      </c>
      <c r="F8">
        <f t="shared" si="4"/>
        <v>3.3333333333333333E-2</v>
      </c>
      <c r="G8">
        <f t="shared" si="4"/>
        <v>0</v>
      </c>
      <c r="H8">
        <f t="shared" si="4"/>
        <v>0</v>
      </c>
      <c r="I8">
        <f t="shared" si="4"/>
        <v>0</v>
      </c>
      <c r="J8">
        <f t="shared" si="4"/>
        <v>0</v>
      </c>
      <c r="K8">
        <f t="shared" si="4"/>
        <v>0</v>
      </c>
      <c r="L8">
        <f t="shared" si="4"/>
        <v>0</v>
      </c>
      <c r="M8">
        <f t="shared" si="4"/>
        <v>0</v>
      </c>
      <c r="N8">
        <f t="shared" si="4"/>
        <v>0</v>
      </c>
      <c r="O8">
        <f t="shared" si="4"/>
        <v>0</v>
      </c>
      <c r="P8">
        <f t="shared" si="4"/>
        <v>0</v>
      </c>
    </row>
    <row r="10" spans="1:18" x14ac:dyDescent="0.25">
      <c r="A10" s="8" t="s">
        <v>26</v>
      </c>
      <c r="B10" s="7">
        <f>B4</f>
        <v>0</v>
      </c>
      <c r="C10" s="7">
        <f t="shared" ref="C10:Q10" si="5">C4</f>
        <v>2</v>
      </c>
      <c r="D10" s="7">
        <f t="shared" si="5"/>
        <v>4</v>
      </c>
      <c r="E10" s="7">
        <f t="shared" si="5"/>
        <v>6</v>
      </c>
      <c r="F10" s="7">
        <f t="shared" si="5"/>
        <v>8</v>
      </c>
      <c r="G10" s="7">
        <f t="shared" si="5"/>
        <v>10</v>
      </c>
      <c r="H10" s="7">
        <f t="shared" si="5"/>
        <v>12</v>
      </c>
      <c r="I10" s="7">
        <f t="shared" si="5"/>
        <v>14</v>
      </c>
      <c r="J10" s="7">
        <f t="shared" si="5"/>
        <v>16</v>
      </c>
      <c r="K10" s="7">
        <f t="shared" si="5"/>
        <v>18</v>
      </c>
      <c r="L10" s="7">
        <f t="shared" si="5"/>
        <v>20</v>
      </c>
      <c r="M10" s="7">
        <f t="shared" si="5"/>
        <v>22</v>
      </c>
      <c r="N10" s="7">
        <f t="shared" si="5"/>
        <v>24</v>
      </c>
      <c r="O10" s="7">
        <f t="shared" si="5"/>
        <v>26</v>
      </c>
      <c r="P10" s="7">
        <f t="shared" si="5"/>
        <v>28</v>
      </c>
      <c r="Q10" s="7">
        <f t="shared" si="5"/>
        <v>30</v>
      </c>
      <c r="R10" s="7" t="s">
        <v>10</v>
      </c>
    </row>
    <row r="11" spans="1:18" x14ac:dyDescent="0.25">
      <c r="A11" s="9" t="s">
        <v>13</v>
      </c>
      <c r="B11">
        <f>P_Tria(B10,2,$A$2,$B$2,$C$2)</f>
        <v>0.18666700000000003</v>
      </c>
      <c r="C11">
        <f t="shared" ref="C11:P11" si="6">P_Tria(C10,2,$A$2,$B$2,$C$2)</f>
        <v>0.31999999999999995</v>
      </c>
      <c r="D11">
        <f t="shared" si="6"/>
        <v>0.24</v>
      </c>
      <c r="E11">
        <f t="shared" si="6"/>
        <v>0.16</v>
      </c>
      <c r="F11">
        <f t="shared" si="6"/>
        <v>8.0000000000000016E-2</v>
      </c>
      <c r="G11">
        <f t="shared" si="6"/>
        <v>1.3333000000000008E-2</v>
      </c>
      <c r="H11">
        <f t="shared" si="6"/>
        <v>0</v>
      </c>
      <c r="I11">
        <f t="shared" si="6"/>
        <v>0</v>
      </c>
      <c r="J11">
        <f t="shared" si="6"/>
        <v>0</v>
      </c>
      <c r="K11">
        <f t="shared" si="6"/>
        <v>0</v>
      </c>
      <c r="L11">
        <f t="shared" si="6"/>
        <v>0</v>
      </c>
      <c r="M11">
        <f t="shared" si="6"/>
        <v>0</v>
      </c>
      <c r="N11">
        <f t="shared" si="6"/>
        <v>0</v>
      </c>
      <c r="O11">
        <f t="shared" si="6"/>
        <v>0</v>
      </c>
      <c r="P11">
        <f t="shared" si="6"/>
        <v>0</v>
      </c>
      <c r="R11">
        <f>SUM(B11:Q11)</f>
        <v>1</v>
      </c>
    </row>
    <row r="12" spans="1:18" x14ac:dyDescent="0.25">
      <c r="A12" s="9" t="s">
        <v>14</v>
      </c>
      <c r="B12">
        <f t="shared" ref="B12:P12" si="7">B11/$R$11</f>
        <v>0.18666700000000003</v>
      </c>
      <c r="C12">
        <f t="shared" si="7"/>
        <v>0.31999999999999995</v>
      </c>
      <c r="D12">
        <f t="shared" si="7"/>
        <v>0.24</v>
      </c>
      <c r="E12">
        <f t="shared" si="7"/>
        <v>0.16</v>
      </c>
      <c r="F12">
        <f t="shared" si="7"/>
        <v>8.0000000000000016E-2</v>
      </c>
      <c r="G12">
        <f t="shared" si="7"/>
        <v>1.3333000000000008E-2</v>
      </c>
      <c r="H12">
        <f t="shared" si="7"/>
        <v>0</v>
      </c>
      <c r="I12">
        <f t="shared" si="7"/>
        <v>0</v>
      </c>
      <c r="J12">
        <f t="shared" si="7"/>
        <v>0</v>
      </c>
      <c r="K12">
        <f t="shared" si="7"/>
        <v>0</v>
      </c>
      <c r="L12">
        <f t="shared" si="7"/>
        <v>0</v>
      </c>
      <c r="M12">
        <f t="shared" si="7"/>
        <v>0</v>
      </c>
      <c r="N12">
        <f t="shared" si="7"/>
        <v>0</v>
      </c>
      <c r="O12">
        <f t="shared" si="7"/>
        <v>0</v>
      </c>
      <c r="P12">
        <f t="shared" si="7"/>
        <v>0</v>
      </c>
      <c r="R12">
        <f>SUM(B12:Q12)</f>
        <v>1</v>
      </c>
    </row>
    <row r="13" spans="1:18" x14ac:dyDescent="0.25">
      <c r="A13" s="9" t="s">
        <v>17</v>
      </c>
      <c r="B13">
        <f>pdf_Tria(B10,2,$A$2,$B$2,$C$2)</f>
        <v>0</v>
      </c>
      <c r="C13">
        <f t="shared" ref="C13:Q13" si="8">pdf_Tria(C10,2,$A$2,$B$2,$C$2)</f>
        <v>0.18</v>
      </c>
      <c r="D13">
        <f t="shared" si="8"/>
        <v>0.14000000000000001</v>
      </c>
      <c r="E13">
        <f t="shared" si="8"/>
        <v>9.9999999999999978E-2</v>
      </c>
      <c r="F13">
        <f t="shared" si="8"/>
        <v>0.06</v>
      </c>
      <c r="G13">
        <f t="shared" si="8"/>
        <v>2.0000000000000018E-2</v>
      </c>
      <c r="H13">
        <f t="shared" si="8"/>
        <v>0</v>
      </c>
      <c r="I13">
        <f t="shared" si="8"/>
        <v>0</v>
      </c>
      <c r="J13">
        <f t="shared" si="8"/>
        <v>0</v>
      </c>
      <c r="K13">
        <f t="shared" si="8"/>
        <v>0</v>
      </c>
      <c r="L13">
        <f t="shared" si="8"/>
        <v>0</v>
      </c>
      <c r="M13">
        <f t="shared" si="8"/>
        <v>0</v>
      </c>
      <c r="N13">
        <f t="shared" si="8"/>
        <v>0</v>
      </c>
      <c r="O13">
        <f t="shared" si="8"/>
        <v>0</v>
      </c>
      <c r="P13">
        <f t="shared" si="8"/>
        <v>0</v>
      </c>
      <c r="Q13">
        <f t="shared" si="8"/>
        <v>0</v>
      </c>
    </row>
    <row r="15" spans="1:18" x14ac:dyDescent="0.25">
      <c r="B15" s="10" t="s">
        <v>70</v>
      </c>
      <c r="C15" s="10" t="s">
        <v>71</v>
      </c>
      <c r="D15" s="10" t="s">
        <v>72</v>
      </c>
      <c r="E15" s="10" t="s">
        <v>73</v>
      </c>
    </row>
    <row r="16" spans="1:18" x14ac:dyDescent="0.25">
      <c r="A16" s="8" t="s">
        <v>4</v>
      </c>
      <c r="B16" s="7" t="s">
        <v>15</v>
      </c>
      <c r="C16" s="7" t="s">
        <v>16</v>
      </c>
      <c r="D16" s="7" t="s">
        <v>38</v>
      </c>
      <c r="E16" s="7" t="s">
        <v>39</v>
      </c>
    </row>
    <row r="17" spans="1:5" x14ac:dyDescent="0.25">
      <c r="A17" s="9">
        <v>0</v>
      </c>
      <c r="B17" s="3">
        <f>B8</f>
        <v>0.16666666666666669</v>
      </c>
      <c r="C17">
        <f>B12/$J$2</f>
        <v>9.3333500000000014E-2</v>
      </c>
      <c r="D17">
        <f>B7/$J$2</f>
        <v>0.18</v>
      </c>
      <c r="E17">
        <v>0</v>
      </c>
    </row>
    <row r="18" spans="1:5" x14ac:dyDescent="0.25">
      <c r="A18" s="9">
        <f>C4</f>
        <v>2</v>
      </c>
      <c r="B18" s="3">
        <f>B17</f>
        <v>0.16666666666666669</v>
      </c>
      <c r="C18">
        <f>C17</f>
        <v>9.3333500000000014E-2</v>
      </c>
      <c r="D18">
        <f>D17</f>
        <v>0.18</v>
      </c>
      <c r="E18">
        <v>0</v>
      </c>
    </row>
    <row r="19" spans="1:5" x14ac:dyDescent="0.25">
      <c r="A19" s="9"/>
      <c r="B19" s="3"/>
    </row>
    <row r="20" spans="1:5" x14ac:dyDescent="0.25">
      <c r="A20" s="9">
        <f>A18</f>
        <v>2</v>
      </c>
      <c r="B20" s="3">
        <f>C8</f>
        <v>0.13333333333333333</v>
      </c>
      <c r="C20">
        <f>C12/$J$2</f>
        <v>0.15999999999999998</v>
      </c>
      <c r="D20">
        <f>C7/$J$2</f>
        <v>0.14000000000000001</v>
      </c>
      <c r="E20">
        <f>D17</f>
        <v>0.18</v>
      </c>
    </row>
    <row r="21" spans="1:5" x14ac:dyDescent="0.25">
      <c r="A21" s="9">
        <f>A20+$J$2</f>
        <v>4</v>
      </c>
      <c r="B21" s="3">
        <f>B20</f>
        <v>0.13333333333333333</v>
      </c>
      <c r="C21">
        <f>C20</f>
        <v>0.15999999999999998</v>
      </c>
      <c r="D21">
        <f>D20</f>
        <v>0.14000000000000001</v>
      </c>
      <c r="E21">
        <f>D18</f>
        <v>0.18</v>
      </c>
    </row>
    <row r="22" spans="1:5" x14ac:dyDescent="0.25">
      <c r="A22" s="9"/>
      <c r="B22" s="3"/>
    </row>
    <row r="23" spans="1:5" x14ac:dyDescent="0.25">
      <c r="A23" s="9">
        <f>A21</f>
        <v>4</v>
      </c>
      <c r="B23" s="3">
        <f>D8</f>
        <v>0.1</v>
      </c>
      <c r="C23">
        <f>D12/$J$2</f>
        <v>0.12</v>
      </c>
      <c r="D23">
        <f>D7/$J$2</f>
        <v>9.9999999999999978E-2</v>
      </c>
      <c r="E23">
        <f>D20</f>
        <v>0.14000000000000001</v>
      </c>
    </row>
    <row r="24" spans="1:5" x14ac:dyDescent="0.25">
      <c r="A24" s="9">
        <f>A23+$J$2</f>
        <v>6</v>
      </c>
      <c r="B24" s="3">
        <f>B23</f>
        <v>0.1</v>
      </c>
      <c r="C24">
        <f>C23</f>
        <v>0.12</v>
      </c>
      <c r="D24">
        <f>D23</f>
        <v>9.9999999999999978E-2</v>
      </c>
      <c r="E24">
        <f>D21</f>
        <v>0.14000000000000001</v>
      </c>
    </row>
    <row r="25" spans="1:5" x14ac:dyDescent="0.25">
      <c r="A25" s="9"/>
      <c r="B25" s="3"/>
    </row>
    <row r="26" spans="1:5" x14ac:dyDescent="0.25">
      <c r="A26" s="9">
        <f>A24</f>
        <v>6</v>
      </c>
      <c r="B26" s="3">
        <f>E8</f>
        <v>6.6666666666666666E-2</v>
      </c>
      <c r="C26">
        <f>E12/$J$2</f>
        <v>0.08</v>
      </c>
      <c r="D26">
        <f>E7/$J$2</f>
        <v>0.06</v>
      </c>
      <c r="E26">
        <f>D23</f>
        <v>9.9999999999999978E-2</v>
      </c>
    </row>
    <row r="27" spans="1:5" x14ac:dyDescent="0.25">
      <c r="A27" s="9">
        <f>A26+$J$2</f>
        <v>8</v>
      </c>
      <c r="B27" s="3">
        <f>B26</f>
        <v>6.6666666666666666E-2</v>
      </c>
      <c r="C27">
        <f>C26</f>
        <v>0.08</v>
      </c>
      <c r="D27">
        <f>D26</f>
        <v>0.06</v>
      </c>
      <c r="E27">
        <f>D24</f>
        <v>9.9999999999999978E-2</v>
      </c>
    </row>
    <row r="28" spans="1:5" x14ac:dyDescent="0.25">
      <c r="A28" s="9"/>
      <c r="B28" s="3"/>
    </row>
    <row r="29" spans="1:5" x14ac:dyDescent="0.25">
      <c r="A29" s="9">
        <f>A27</f>
        <v>8</v>
      </c>
      <c r="B29" s="3">
        <f>F8</f>
        <v>3.3333333333333333E-2</v>
      </c>
      <c r="C29">
        <f>F12/$J$2</f>
        <v>4.0000000000000008E-2</v>
      </c>
      <c r="D29">
        <f>F7/$J$2</f>
        <v>2.0000000000000018E-2</v>
      </c>
      <c r="E29">
        <f>D26</f>
        <v>0.06</v>
      </c>
    </row>
    <row r="30" spans="1:5" x14ac:dyDescent="0.25">
      <c r="A30" s="9">
        <f>A29+$J$2</f>
        <v>10</v>
      </c>
      <c r="B30" s="3">
        <f>B29</f>
        <v>3.3333333333333333E-2</v>
      </c>
      <c r="C30">
        <f>C29</f>
        <v>4.0000000000000008E-2</v>
      </c>
      <c r="D30">
        <f>D29</f>
        <v>2.0000000000000018E-2</v>
      </c>
      <c r="E30">
        <f>D27</f>
        <v>0.06</v>
      </c>
    </row>
    <row r="31" spans="1:5" x14ac:dyDescent="0.25">
      <c r="A31" s="9"/>
      <c r="B31" s="3"/>
    </row>
    <row r="32" spans="1:5" x14ac:dyDescent="0.25">
      <c r="A32" s="9">
        <f>A30</f>
        <v>10</v>
      </c>
      <c r="B32" s="3">
        <f>G8</f>
        <v>0</v>
      </c>
      <c r="C32">
        <f>G12/$J$2</f>
        <v>6.666500000000004E-3</v>
      </c>
      <c r="D32">
        <f>G7/$J$2</f>
        <v>0</v>
      </c>
      <c r="E32">
        <f>D29</f>
        <v>2.0000000000000018E-2</v>
      </c>
    </row>
    <row r="33" spans="1:5" x14ac:dyDescent="0.25">
      <c r="A33" s="9">
        <f>A32+$J$2</f>
        <v>12</v>
      </c>
      <c r="B33" s="3">
        <f>B32</f>
        <v>0</v>
      </c>
      <c r="C33">
        <f>C32</f>
        <v>6.666500000000004E-3</v>
      </c>
      <c r="D33">
        <f>D32</f>
        <v>0</v>
      </c>
      <c r="E33">
        <f>D30</f>
        <v>2.0000000000000018E-2</v>
      </c>
    </row>
    <row r="34" spans="1:5" x14ac:dyDescent="0.25">
      <c r="A34" s="9"/>
      <c r="B34" s="3"/>
    </row>
    <row r="35" spans="1:5" x14ac:dyDescent="0.25">
      <c r="A35" s="9">
        <f>A33</f>
        <v>12</v>
      </c>
      <c r="B35" s="3">
        <f>H8</f>
        <v>0</v>
      </c>
      <c r="C35">
        <f>H12/$J$2</f>
        <v>0</v>
      </c>
      <c r="D35">
        <f>H7/$J$2</f>
        <v>0</v>
      </c>
      <c r="E35">
        <f>D32</f>
        <v>0</v>
      </c>
    </row>
    <row r="36" spans="1:5" x14ac:dyDescent="0.25">
      <c r="A36" s="9">
        <f>A35+$J$2</f>
        <v>14</v>
      </c>
      <c r="B36" s="3">
        <f>B35</f>
        <v>0</v>
      </c>
      <c r="C36">
        <f>C35</f>
        <v>0</v>
      </c>
      <c r="D36">
        <f>D35</f>
        <v>0</v>
      </c>
      <c r="E36">
        <f>D33</f>
        <v>0</v>
      </c>
    </row>
    <row r="37" spans="1:5" x14ac:dyDescent="0.25">
      <c r="A37" s="9"/>
      <c r="B37" s="3"/>
    </row>
    <row r="38" spans="1:5" x14ac:dyDescent="0.25">
      <c r="A38" s="9">
        <f>A36</f>
        <v>14</v>
      </c>
      <c r="B38" s="3">
        <f>I8</f>
        <v>0</v>
      </c>
      <c r="C38">
        <f>I12/$J$2</f>
        <v>0</v>
      </c>
      <c r="D38">
        <f>I7/$J$2</f>
        <v>0</v>
      </c>
      <c r="E38">
        <f>D35</f>
        <v>0</v>
      </c>
    </row>
    <row r="39" spans="1:5" x14ac:dyDescent="0.25">
      <c r="A39" s="9">
        <f>A38+$J$2</f>
        <v>16</v>
      </c>
      <c r="B39" s="3">
        <f>B38</f>
        <v>0</v>
      </c>
      <c r="C39">
        <f>C38</f>
        <v>0</v>
      </c>
      <c r="D39">
        <f>D38</f>
        <v>0</v>
      </c>
      <c r="E39">
        <f>D36</f>
        <v>0</v>
      </c>
    </row>
    <row r="40" spans="1:5" x14ac:dyDescent="0.25">
      <c r="A40" s="9"/>
      <c r="B40" s="3"/>
    </row>
    <row r="41" spans="1:5" x14ac:dyDescent="0.25">
      <c r="A41" s="9">
        <f>A39</f>
        <v>16</v>
      </c>
      <c r="B41" s="3">
        <f>J8</f>
        <v>0</v>
      </c>
      <c r="C41">
        <f>J12/$J$2</f>
        <v>0</v>
      </c>
      <c r="D41">
        <f>J7/$J$2</f>
        <v>0</v>
      </c>
      <c r="E41">
        <f>D38</f>
        <v>0</v>
      </c>
    </row>
    <row r="42" spans="1:5" x14ac:dyDescent="0.25">
      <c r="A42" s="9">
        <f>A41+$J$2</f>
        <v>18</v>
      </c>
      <c r="B42" s="3">
        <f>B41</f>
        <v>0</v>
      </c>
      <c r="C42">
        <f>C41</f>
        <v>0</v>
      </c>
      <c r="D42">
        <f>D41</f>
        <v>0</v>
      </c>
      <c r="E42">
        <f>D39</f>
        <v>0</v>
      </c>
    </row>
    <row r="43" spans="1:5" x14ac:dyDescent="0.25">
      <c r="A43" s="9"/>
      <c r="B43" s="3"/>
    </row>
    <row r="44" spans="1:5" x14ac:dyDescent="0.25">
      <c r="A44" s="9">
        <f>A42</f>
        <v>18</v>
      </c>
      <c r="B44" s="3">
        <f>K8</f>
        <v>0</v>
      </c>
      <c r="C44">
        <f>K12/$J$2</f>
        <v>0</v>
      </c>
      <c r="D44">
        <f>K7/$J$2</f>
        <v>0</v>
      </c>
      <c r="E44">
        <f>D41</f>
        <v>0</v>
      </c>
    </row>
    <row r="45" spans="1:5" x14ac:dyDescent="0.25">
      <c r="A45" s="9">
        <f>A44+$J$2</f>
        <v>20</v>
      </c>
      <c r="B45" s="3">
        <f>B44</f>
        <v>0</v>
      </c>
      <c r="C45">
        <f>C44</f>
        <v>0</v>
      </c>
      <c r="D45">
        <f>D44</f>
        <v>0</v>
      </c>
      <c r="E45">
        <f>D42</f>
        <v>0</v>
      </c>
    </row>
    <row r="47" spans="1:5" x14ac:dyDescent="0.25">
      <c r="B47" s="10" t="s">
        <v>68</v>
      </c>
      <c r="C47" s="10" t="s">
        <v>69</v>
      </c>
    </row>
    <row r="48" spans="1:5" x14ac:dyDescent="0.25">
      <c r="A48" s="8" t="s">
        <v>4</v>
      </c>
      <c r="B48" s="7" t="s">
        <v>40</v>
      </c>
      <c r="C48" s="7" t="s">
        <v>41</v>
      </c>
    </row>
    <row r="49" spans="1:3" x14ac:dyDescent="0.25">
      <c r="A49" s="9">
        <v>0</v>
      </c>
      <c r="B49" s="2">
        <f>Tria(A49,$A$2,$B$2,$C$2,0)</f>
        <v>0.2</v>
      </c>
      <c r="C49">
        <f>pdf_Tria(A49,2,$A$2,$B$2,$C$2)</f>
        <v>0</v>
      </c>
    </row>
    <row r="50" spans="1:3" x14ac:dyDescent="0.25">
      <c r="A50" s="9">
        <v>0.05</v>
      </c>
      <c r="B50" s="2">
        <f t="shared" ref="B50:B113" si="9">Tria(A50,$A$2,$B$2,$C$2,0)</f>
        <v>0.19900000000000001</v>
      </c>
      <c r="C50">
        <f t="shared" ref="C50:C113" si="10">pdf_Tria(A50,2,$A$2,$B$2,$C$2)</f>
        <v>4.9875000000000821E-3</v>
      </c>
    </row>
    <row r="51" spans="1:3" x14ac:dyDescent="0.25">
      <c r="A51" s="9">
        <v>0.1</v>
      </c>
      <c r="B51" s="2">
        <f t="shared" si="9"/>
        <v>0.19800000000000001</v>
      </c>
      <c r="C51">
        <f t="shared" si="10"/>
        <v>9.9499999999999745E-3</v>
      </c>
    </row>
    <row r="52" spans="1:3" x14ac:dyDescent="0.25">
      <c r="A52" s="9">
        <v>0.15</v>
      </c>
      <c r="B52" s="2">
        <f t="shared" si="9"/>
        <v>0.19700000000000001</v>
      </c>
      <c r="C52">
        <f t="shared" si="10"/>
        <v>1.4887500000000031E-2</v>
      </c>
    </row>
    <row r="53" spans="1:3" x14ac:dyDescent="0.25">
      <c r="A53" s="9">
        <v>0.2</v>
      </c>
      <c r="B53" s="2">
        <f t="shared" si="9"/>
        <v>0.19600000000000001</v>
      </c>
      <c r="C53">
        <f t="shared" si="10"/>
        <v>1.9799999999999898E-2</v>
      </c>
    </row>
    <row r="54" spans="1:3" x14ac:dyDescent="0.25">
      <c r="A54" s="9">
        <v>0.25</v>
      </c>
      <c r="B54" s="2">
        <f t="shared" si="9"/>
        <v>0.19500000000000001</v>
      </c>
      <c r="C54">
        <f t="shared" si="10"/>
        <v>2.4687500000000001E-2</v>
      </c>
    </row>
    <row r="55" spans="1:3" x14ac:dyDescent="0.25">
      <c r="A55" s="9">
        <v>0.3</v>
      </c>
      <c r="B55" s="2">
        <f t="shared" si="9"/>
        <v>0.19400000000000001</v>
      </c>
      <c r="C55">
        <f t="shared" si="10"/>
        <v>2.9550000000000055E-2</v>
      </c>
    </row>
    <row r="56" spans="1:3" x14ac:dyDescent="0.25">
      <c r="A56" s="9">
        <v>0.35</v>
      </c>
      <c r="B56" s="2">
        <f t="shared" si="9"/>
        <v>0.193</v>
      </c>
      <c r="C56">
        <f t="shared" si="10"/>
        <v>3.4387499999999988E-2</v>
      </c>
    </row>
    <row r="57" spans="1:3" x14ac:dyDescent="0.25">
      <c r="A57" s="9">
        <v>0.4</v>
      </c>
      <c r="B57" s="2">
        <f t="shared" si="9"/>
        <v>0.192</v>
      </c>
      <c r="C57">
        <f t="shared" si="10"/>
        <v>3.920000000000002E-2</v>
      </c>
    </row>
    <row r="58" spans="1:3" x14ac:dyDescent="0.25">
      <c r="A58" s="9">
        <v>0.45</v>
      </c>
      <c r="B58" s="2">
        <f t="shared" si="9"/>
        <v>0.191</v>
      </c>
      <c r="C58">
        <f t="shared" si="10"/>
        <v>4.3987499999999929E-2</v>
      </c>
    </row>
    <row r="59" spans="1:3" x14ac:dyDescent="0.25">
      <c r="A59" s="9">
        <v>0.5</v>
      </c>
      <c r="B59" s="2">
        <f t="shared" si="9"/>
        <v>0.19</v>
      </c>
      <c r="C59">
        <f t="shared" si="10"/>
        <v>4.8750000000000002E-2</v>
      </c>
    </row>
    <row r="60" spans="1:3" x14ac:dyDescent="0.25">
      <c r="A60" s="9">
        <v>0.55000000000000004</v>
      </c>
      <c r="B60" s="2">
        <f t="shared" si="9"/>
        <v>0.189</v>
      </c>
      <c r="C60">
        <f t="shared" si="10"/>
        <v>5.3487500000000097E-2</v>
      </c>
    </row>
    <row r="61" spans="1:3" x14ac:dyDescent="0.25">
      <c r="A61" s="9">
        <v>0.6</v>
      </c>
      <c r="B61" s="2">
        <f t="shared" si="9"/>
        <v>0.188</v>
      </c>
      <c r="C61">
        <f t="shared" si="10"/>
        <v>5.8199999999999932E-2</v>
      </c>
    </row>
    <row r="62" spans="1:3" x14ac:dyDescent="0.25">
      <c r="A62" s="9">
        <v>0.65</v>
      </c>
      <c r="B62" s="2">
        <f t="shared" si="9"/>
        <v>0.187</v>
      </c>
      <c r="C62">
        <f t="shared" si="10"/>
        <v>6.2887499999999999E-2</v>
      </c>
    </row>
    <row r="63" spans="1:3" x14ac:dyDescent="0.25">
      <c r="A63" s="9">
        <v>0.7</v>
      </c>
      <c r="B63" s="2">
        <f t="shared" si="9"/>
        <v>0.186</v>
      </c>
      <c r="C63">
        <f t="shared" si="10"/>
        <v>6.7549999999999957E-2</v>
      </c>
    </row>
    <row r="64" spans="1:3" x14ac:dyDescent="0.25">
      <c r="A64" s="9">
        <v>0.75</v>
      </c>
      <c r="B64" s="2">
        <f t="shared" si="9"/>
        <v>0.185</v>
      </c>
      <c r="C64">
        <f t="shared" si="10"/>
        <v>7.2187500000000002E-2</v>
      </c>
    </row>
    <row r="65" spans="1:3" x14ac:dyDescent="0.25">
      <c r="A65" s="9">
        <v>0.8</v>
      </c>
      <c r="B65" s="2">
        <f t="shared" si="9"/>
        <v>0.184</v>
      </c>
      <c r="C65">
        <f t="shared" si="10"/>
        <v>7.6800000000000063E-2</v>
      </c>
    </row>
    <row r="66" spans="1:3" x14ac:dyDescent="0.25">
      <c r="A66" s="9">
        <v>0.85</v>
      </c>
      <c r="B66" s="2">
        <f t="shared" si="9"/>
        <v>0.183</v>
      </c>
      <c r="C66">
        <f t="shared" si="10"/>
        <v>8.1387499999999946E-2</v>
      </c>
    </row>
    <row r="67" spans="1:3" x14ac:dyDescent="0.25">
      <c r="A67" s="9">
        <v>0.9</v>
      </c>
      <c r="B67" s="2">
        <f t="shared" si="9"/>
        <v>0.182</v>
      </c>
      <c r="C67">
        <f t="shared" si="10"/>
        <v>8.5950000000000054E-2</v>
      </c>
    </row>
    <row r="68" spans="1:3" x14ac:dyDescent="0.25">
      <c r="A68" s="9">
        <v>0.95</v>
      </c>
      <c r="B68" s="2">
        <f t="shared" si="9"/>
        <v>0.18099999999999999</v>
      </c>
      <c r="C68">
        <f t="shared" si="10"/>
        <v>9.0487499999999915E-2</v>
      </c>
    </row>
    <row r="69" spans="1:3" x14ac:dyDescent="0.25">
      <c r="A69" s="9">
        <v>1</v>
      </c>
      <c r="B69" s="2">
        <f t="shared" si="9"/>
        <v>0.18</v>
      </c>
      <c r="C69">
        <f t="shared" si="10"/>
        <v>9.5000000000000001E-2</v>
      </c>
    </row>
    <row r="70" spans="1:3" x14ac:dyDescent="0.25">
      <c r="A70" s="9">
        <v>1.05</v>
      </c>
      <c r="B70" s="2">
        <f t="shared" si="9"/>
        <v>0.17899999999999999</v>
      </c>
      <c r="C70">
        <f t="shared" si="10"/>
        <v>9.9487500000000034E-2</v>
      </c>
    </row>
    <row r="71" spans="1:3" x14ac:dyDescent="0.25">
      <c r="A71" s="9">
        <v>1.1000000000000001</v>
      </c>
      <c r="B71" s="2">
        <f t="shared" si="9"/>
        <v>0.17799999999999999</v>
      </c>
      <c r="C71">
        <f t="shared" si="10"/>
        <v>0.10394999999999996</v>
      </c>
    </row>
    <row r="72" spans="1:3" x14ac:dyDescent="0.25">
      <c r="A72" s="9">
        <v>1.1499999999999999</v>
      </c>
      <c r="B72" s="2">
        <f t="shared" si="9"/>
        <v>0.17699999999999999</v>
      </c>
      <c r="C72">
        <f t="shared" si="10"/>
        <v>0.10838750000000004</v>
      </c>
    </row>
    <row r="73" spans="1:3" x14ac:dyDescent="0.25">
      <c r="A73" s="9">
        <v>1.2</v>
      </c>
      <c r="B73" s="2">
        <f t="shared" si="9"/>
        <v>0.17599999999999999</v>
      </c>
      <c r="C73">
        <f t="shared" si="10"/>
        <v>0.11279999999999994</v>
      </c>
    </row>
    <row r="74" spans="1:3" x14ac:dyDescent="0.25">
      <c r="A74" s="9">
        <v>1.25</v>
      </c>
      <c r="B74" s="2">
        <f t="shared" si="9"/>
        <v>0.17499999999999999</v>
      </c>
      <c r="C74">
        <f t="shared" si="10"/>
        <v>0.1171875</v>
      </c>
    </row>
    <row r="75" spans="1:3" x14ac:dyDescent="0.25">
      <c r="A75" s="9">
        <v>1.3</v>
      </c>
      <c r="B75" s="2">
        <f t="shared" si="9"/>
        <v>0.17399999999999999</v>
      </c>
      <c r="C75">
        <f t="shared" si="10"/>
        <v>0.12155000000000009</v>
      </c>
    </row>
    <row r="76" spans="1:3" x14ac:dyDescent="0.25">
      <c r="A76" s="9">
        <v>1.35</v>
      </c>
      <c r="B76" s="2">
        <f t="shared" si="9"/>
        <v>0.17299999999999999</v>
      </c>
      <c r="C76">
        <f t="shared" si="10"/>
        <v>0.12588749999999999</v>
      </c>
    </row>
    <row r="77" spans="1:3" x14ac:dyDescent="0.25">
      <c r="A77" s="9">
        <v>1.4</v>
      </c>
      <c r="B77" s="2">
        <f t="shared" si="9"/>
        <v>0.17200000000000001</v>
      </c>
      <c r="C77">
        <f t="shared" si="10"/>
        <v>0.13020000000000004</v>
      </c>
    </row>
    <row r="78" spans="1:3" x14ac:dyDescent="0.25">
      <c r="A78" s="9">
        <v>1.45</v>
      </c>
      <c r="B78" s="2">
        <f t="shared" si="9"/>
        <v>0.17100000000000001</v>
      </c>
      <c r="C78">
        <f t="shared" si="10"/>
        <v>0.13448749999999998</v>
      </c>
    </row>
    <row r="79" spans="1:3" x14ac:dyDescent="0.25">
      <c r="A79" s="9">
        <v>1.5</v>
      </c>
      <c r="B79" s="2">
        <f t="shared" si="9"/>
        <v>0.17</v>
      </c>
      <c r="C79">
        <f t="shared" si="10"/>
        <v>0.13875000000000001</v>
      </c>
    </row>
    <row r="80" spans="1:3" x14ac:dyDescent="0.25">
      <c r="A80" s="9">
        <v>1.55</v>
      </c>
      <c r="B80" s="2">
        <f t="shared" si="9"/>
        <v>0.16900000000000001</v>
      </c>
      <c r="C80">
        <f t="shared" si="10"/>
        <v>0.14298750000000005</v>
      </c>
    </row>
    <row r="81" spans="1:3" x14ac:dyDescent="0.25">
      <c r="A81" s="9">
        <v>1.6</v>
      </c>
      <c r="B81" s="2">
        <f t="shared" si="9"/>
        <v>0.16800000000000001</v>
      </c>
      <c r="C81">
        <f t="shared" si="10"/>
        <v>0.1472</v>
      </c>
    </row>
    <row r="82" spans="1:3" x14ac:dyDescent="0.25">
      <c r="A82" s="9">
        <v>1.65</v>
      </c>
      <c r="B82" s="2">
        <f t="shared" si="9"/>
        <v>0.16700000000000001</v>
      </c>
      <c r="C82">
        <f t="shared" si="10"/>
        <v>0.15138750000000001</v>
      </c>
    </row>
    <row r="83" spans="1:3" x14ac:dyDescent="0.25">
      <c r="A83" s="9">
        <v>1.7</v>
      </c>
      <c r="B83" s="2">
        <f t="shared" si="9"/>
        <v>0.16600000000000001</v>
      </c>
      <c r="C83">
        <f t="shared" si="10"/>
        <v>0.15554999999999994</v>
      </c>
    </row>
    <row r="84" spans="1:3" x14ac:dyDescent="0.25">
      <c r="A84" s="9">
        <v>1.75</v>
      </c>
      <c r="B84" s="2">
        <f t="shared" si="9"/>
        <v>0.16500000000000001</v>
      </c>
      <c r="C84">
        <f t="shared" si="10"/>
        <v>0.15968750000000001</v>
      </c>
    </row>
    <row r="85" spans="1:3" x14ac:dyDescent="0.25">
      <c r="A85" s="9">
        <v>1.8</v>
      </c>
      <c r="B85" s="2">
        <f t="shared" si="9"/>
        <v>0.16400000000000001</v>
      </c>
      <c r="C85">
        <f t="shared" si="10"/>
        <v>0.16380000000000003</v>
      </c>
    </row>
    <row r="86" spans="1:3" x14ac:dyDescent="0.25">
      <c r="A86" s="9">
        <v>1.85</v>
      </c>
      <c r="B86" s="2">
        <f t="shared" si="9"/>
        <v>0.16300000000000001</v>
      </c>
      <c r="C86">
        <f t="shared" si="10"/>
        <v>0.1678875</v>
      </c>
    </row>
    <row r="87" spans="1:3" x14ac:dyDescent="0.25">
      <c r="A87" s="9">
        <v>1.9</v>
      </c>
      <c r="B87" s="2">
        <f t="shared" si="9"/>
        <v>0.16200000000000001</v>
      </c>
      <c r="C87">
        <f t="shared" si="10"/>
        <v>0.17194999999999999</v>
      </c>
    </row>
    <row r="88" spans="1:3" x14ac:dyDescent="0.25">
      <c r="A88" s="9">
        <v>1.95</v>
      </c>
      <c r="B88" s="2">
        <f t="shared" si="9"/>
        <v>0.161</v>
      </c>
      <c r="C88">
        <f t="shared" si="10"/>
        <v>0.17598749999999996</v>
      </c>
    </row>
    <row r="89" spans="1:3" x14ac:dyDescent="0.25">
      <c r="A89" s="9">
        <v>2</v>
      </c>
      <c r="B89" s="2">
        <f t="shared" si="9"/>
        <v>0.16</v>
      </c>
      <c r="C89">
        <f t="shared" si="10"/>
        <v>0.18</v>
      </c>
    </row>
    <row r="90" spans="1:3" x14ac:dyDescent="0.25">
      <c r="A90" s="9">
        <v>2.0499999999999998</v>
      </c>
      <c r="B90" s="2">
        <f t="shared" si="9"/>
        <v>0.159</v>
      </c>
      <c r="C90">
        <f t="shared" si="10"/>
        <v>0.17899999999999991</v>
      </c>
    </row>
    <row r="91" spans="1:3" x14ac:dyDescent="0.25">
      <c r="A91" s="9">
        <v>2.1</v>
      </c>
      <c r="B91" s="2">
        <f t="shared" si="9"/>
        <v>0.158</v>
      </c>
      <c r="C91">
        <f t="shared" si="10"/>
        <v>0.17799999999999999</v>
      </c>
    </row>
    <row r="92" spans="1:3" x14ac:dyDescent="0.25">
      <c r="A92" s="9">
        <v>2.15</v>
      </c>
      <c r="B92" s="2">
        <f t="shared" si="9"/>
        <v>0.157</v>
      </c>
      <c r="C92">
        <f t="shared" si="10"/>
        <v>0.17699999999999999</v>
      </c>
    </row>
    <row r="93" spans="1:3" x14ac:dyDescent="0.25">
      <c r="A93" s="9">
        <v>2.2000000000000002</v>
      </c>
      <c r="B93" s="2">
        <f t="shared" si="9"/>
        <v>0.156</v>
      </c>
      <c r="C93">
        <f t="shared" si="10"/>
        <v>0.17600000000000013</v>
      </c>
    </row>
    <row r="94" spans="1:3" x14ac:dyDescent="0.25">
      <c r="A94" s="9">
        <v>2.25</v>
      </c>
      <c r="B94" s="2">
        <f t="shared" si="9"/>
        <v>0.155</v>
      </c>
      <c r="C94">
        <f t="shared" si="10"/>
        <v>0.17499999999999999</v>
      </c>
    </row>
    <row r="95" spans="1:3" x14ac:dyDescent="0.25">
      <c r="A95" s="9">
        <v>2.2999999999999998</v>
      </c>
      <c r="B95" s="2">
        <f t="shared" si="9"/>
        <v>0.154</v>
      </c>
      <c r="C95">
        <f t="shared" si="10"/>
        <v>0.17399999999999993</v>
      </c>
    </row>
    <row r="96" spans="1:3" x14ac:dyDescent="0.25">
      <c r="A96" s="9">
        <v>2.35</v>
      </c>
      <c r="B96" s="2">
        <f t="shared" si="9"/>
        <v>0.153</v>
      </c>
      <c r="C96">
        <f t="shared" si="10"/>
        <v>0.17299999999999996</v>
      </c>
    </row>
    <row r="97" spans="1:3" x14ac:dyDescent="0.25">
      <c r="A97" s="9">
        <v>2.4</v>
      </c>
      <c r="B97" s="2">
        <f t="shared" si="9"/>
        <v>0.152</v>
      </c>
      <c r="C97">
        <f t="shared" si="10"/>
        <v>0.17199999999999999</v>
      </c>
    </row>
    <row r="98" spans="1:3" x14ac:dyDescent="0.25">
      <c r="A98" s="9">
        <v>2.4500000000000002</v>
      </c>
      <c r="B98" s="2">
        <f t="shared" si="9"/>
        <v>0.151</v>
      </c>
      <c r="C98">
        <f t="shared" si="10"/>
        <v>0.17100000000000007</v>
      </c>
    </row>
    <row r="99" spans="1:3" x14ac:dyDescent="0.25">
      <c r="A99" s="9">
        <v>2.5</v>
      </c>
      <c r="B99" s="2">
        <f t="shared" si="9"/>
        <v>0.15</v>
      </c>
      <c r="C99">
        <f t="shared" si="10"/>
        <v>0.16999999999999998</v>
      </c>
    </row>
    <row r="100" spans="1:3" x14ac:dyDescent="0.25">
      <c r="A100" s="9">
        <v>2.5499999999999998</v>
      </c>
      <c r="B100" s="2">
        <f t="shared" si="9"/>
        <v>0.14899999999999999</v>
      </c>
      <c r="C100">
        <f t="shared" si="10"/>
        <v>0.16899999999999987</v>
      </c>
    </row>
    <row r="101" spans="1:3" x14ac:dyDescent="0.25">
      <c r="A101" s="9">
        <v>2.6</v>
      </c>
      <c r="B101" s="2">
        <f t="shared" si="9"/>
        <v>0.14799999999999999</v>
      </c>
      <c r="C101">
        <f t="shared" si="10"/>
        <v>0.16800000000000004</v>
      </c>
    </row>
    <row r="102" spans="1:3" x14ac:dyDescent="0.25">
      <c r="A102" s="9">
        <v>2.65</v>
      </c>
      <c r="B102" s="2">
        <f t="shared" si="9"/>
        <v>0.14699999999999999</v>
      </c>
      <c r="C102">
        <f t="shared" si="10"/>
        <v>0.16700000000000004</v>
      </c>
    </row>
    <row r="103" spans="1:3" x14ac:dyDescent="0.25">
      <c r="A103" s="9">
        <v>2.7</v>
      </c>
      <c r="B103" s="2">
        <f t="shared" si="9"/>
        <v>0.14599999999999999</v>
      </c>
      <c r="C103">
        <f t="shared" si="10"/>
        <v>0.16600000000000004</v>
      </c>
    </row>
    <row r="104" spans="1:3" x14ac:dyDescent="0.25">
      <c r="A104" s="9">
        <v>2.75</v>
      </c>
      <c r="B104" s="2">
        <f t="shared" si="9"/>
        <v>0.14499999999999999</v>
      </c>
      <c r="C104">
        <f t="shared" si="10"/>
        <v>0.16499999999999998</v>
      </c>
    </row>
    <row r="105" spans="1:3" x14ac:dyDescent="0.25">
      <c r="A105" s="9">
        <v>2.8</v>
      </c>
      <c r="B105" s="2">
        <f t="shared" si="9"/>
        <v>0.14400000000000002</v>
      </c>
      <c r="C105">
        <f t="shared" si="10"/>
        <v>0.16399999999999992</v>
      </c>
    </row>
    <row r="106" spans="1:3" x14ac:dyDescent="0.25">
      <c r="A106" s="9">
        <v>2.85</v>
      </c>
      <c r="B106" s="2">
        <f t="shared" si="9"/>
        <v>0.14299999999999999</v>
      </c>
      <c r="C106">
        <f t="shared" si="10"/>
        <v>0.16300000000000003</v>
      </c>
    </row>
    <row r="107" spans="1:3" x14ac:dyDescent="0.25">
      <c r="A107" s="9">
        <v>2.9</v>
      </c>
      <c r="B107" s="2">
        <f t="shared" si="9"/>
        <v>0.14200000000000002</v>
      </c>
      <c r="C107">
        <f t="shared" si="10"/>
        <v>0.16199999999999995</v>
      </c>
    </row>
    <row r="108" spans="1:3" x14ac:dyDescent="0.25">
      <c r="A108" s="9">
        <v>2.95</v>
      </c>
      <c r="B108" s="2">
        <f t="shared" si="9"/>
        <v>0.14099999999999999</v>
      </c>
      <c r="C108">
        <f t="shared" si="10"/>
        <v>0.16100000000000006</v>
      </c>
    </row>
    <row r="109" spans="1:3" x14ac:dyDescent="0.25">
      <c r="A109" s="9">
        <v>3</v>
      </c>
      <c r="B109" s="2">
        <f t="shared" si="9"/>
        <v>0.14000000000000001</v>
      </c>
      <c r="C109">
        <f t="shared" si="10"/>
        <v>0.16</v>
      </c>
    </row>
    <row r="110" spans="1:3" x14ac:dyDescent="0.25">
      <c r="A110" s="9">
        <v>3.05</v>
      </c>
      <c r="B110" s="2">
        <f t="shared" si="9"/>
        <v>0.13900000000000001</v>
      </c>
      <c r="C110">
        <f t="shared" si="10"/>
        <v>0.15899999999999995</v>
      </c>
    </row>
    <row r="111" spans="1:3" x14ac:dyDescent="0.25">
      <c r="A111" s="9">
        <v>3.1</v>
      </c>
      <c r="B111" s="2">
        <f t="shared" si="9"/>
        <v>0.13800000000000001</v>
      </c>
      <c r="C111">
        <f t="shared" si="10"/>
        <v>0.158</v>
      </c>
    </row>
    <row r="112" spans="1:3" x14ac:dyDescent="0.25">
      <c r="A112" s="9">
        <v>3.15</v>
      </c>
      <c r="B112" s="2">
        <f t="shared" si="9"/>
        <v>0.13700000000000001</v>
      </c>
      <c r="C112">
        <f t="shared" si="10"/>
        <v>0.15700000000000003</v>
      </c>
    </row>
    <row r="113" spans="1:3" x14ac:dyDescent="0.25">
      <c r="A113" s="9">
        <v>3.2</v>
      </c>
      <c r="B113" s="2">
        <f t="shared" si="9"/>
        <v>0.13600000000000001</v>
      </c>
      <c r="C113">
        <f t="shared" si="10"/>
        <v>0.15600000000000008</v>
      </c>
    </row>
    <row r="114" spans="1:3" x14ac:dyDescent="0.25">
      <c r="A114" s="9">
        <v>3.25</v>
      </c>
      <c r="B114" s="2">
        <f t="shared" ref="B114:B177" si="11">Tria(A114,$A$2,$B$2,$C$2,0)</f>
        <v>0.13500000000000001</v>
      </c>
      <c r="C114">
        <f t="shared" ref="C114:C177" si="12">pdf_Tria(A114,2,$A$2,$B$2,$C$2)</f>
        <v>0.15500000000000003</v>
      </c>
    </row>
    <row r="115" spans="1:3" x14ac:dyDescent="0.25">
      <c r="A115" s="9">
        <v>3.3</v>
      </c>
      <c r="B115" s="2">
        <f t="shared" si="11"/>
        <v>0.13400000000000001</v>
      </c>
      <c r="C115">
        <f t="shared" si="12"/>
        <v>0.15399999999999991</v>
      </c>
    </row>
    <row r="116" spans="1:3" x14ac:dyDescent="0.25">
      <c r="A116" s="9">
        <v>3.35</v>
      </c>
      <c r="B116" s="2">
        <f t="shared" si="11"/>
        <v>0.13300000000000001</v>
      </c>
      <c r="C116">
        <f t="shared" si="12"/>
        <v>0.15299999999999997</v>
      </c>
    </row>
    <row r="117" spans="1:3" x14ac:dyDescent="0.25">
      <c r="A117" s="9">
        <v>3.4</v>
      </c>
      <c r="B117" s="2">
        <f t="shared" si="11"/>
        <v>0.13200000000000001</v>
      </c>
      <c r="C117">
        <f t="shared" si="12"/>
        <v>0.15199999999999997</v>
      </c>
    </row>
    <row r="118" spans="1:3" x14ac:dyDescent="0.25">
      <c r="A118" s="9">
        <v>3.45</v>
      </c>
      <c r="B118" s="2">
        <f t="shared" si="11"/>
        <v>0.13100000000000001</v>
      </c>
      <c r="C118">
        <f t="shared" si="12"/>
        <v>0.15100000000000002</v>
      </c>
    </row>
    <row r="119" spans="1:3" x14ac:dyDescent="0.25">
      <c r="A119" s="9">
        <v>3.5</v>
      </c>
      <c r="B119" s="2">
        <f t="shared" si="11"/>
        <v>0.13</v>
      </c>
      <c r="C119">
        <f t="shared" si="12"/>
        <v>0.15</v>
      </c>
    </row>
    <row r="120" spans="1:3" x14ac:dyDescent="0.25">
      <c r="A120" s="9">
        <v>3.55</v>
      </c>
      <c r="B120" s="2">
        <f t="shared" si="11"/>
        <v>0.129</v>
      </c>
      <c r="C120">
        <f t="shared" si="12"/>
        <v>0.14899999999999997</v>
      </c>
    </row>
    <row r="121" spans="1:3" x14ac:dyDescent="0.25">
      <c r="A121" s="9">
        <v>3.6</v>
      </c>
      <c r="B121" s="2">
        <f t="shared" si="11"/>
        <v>0.128</v>
      </c>
      <c r="C121">
        <f t="shared" si="12"/>
        <v>0.14799999999999996</v>
      </c>
    </row>
    <row r="122" spans="1:3" x14ac:dyDescent="0.25">
      <c r="A122" s="9">
        <v>3.65</v>
      </c>
      <c r="B122" s="2">
        <f t="shared" si="11"/>
        <v>0.127</v>
      </c>
      <c r="C122">
        <f t="shared" si="12"/>
        <v>0.14700000000000002</v>
      </c>
    </row>
    <row r="123" spans="1:3" x14ac:dyDescent="0.25">
      <c r="A123" s="9">
        <v>3.7</v>
      </c>
      <c r="B123" s="2">
        <f t="shared" si="11"/>
        <v>0.126</v>
      </c>
      <c r="C123">
        <f t="shared" si="12"/>
        <v>0.14600000000000005</v>
      </c>
    </row>
    <row r="124" spans="1:3" x14ac:dyDescent="0.25">
      <c r="A124" s="9">
        <v>3.75</v>
      </c>
      <c r="B124" s="2">
        <f t="shared" si="11"/>
        <v>0.125</v>
      </c>
      <c r="C124">
        <f t="shared" si="12"/>
        <v>0.14499999999999999</v>
      </c>
    </row>
    <row r="125" spans="1:3" x14ac:dyDescent="0.25">
      <c r="A125" s="9">
        <v>3.8</v>
      </c>
      <c r="B125" s="2">
        <f t="shared" si="11"/>
        <v>0.124</v>
      </c>
      <c r="C125">
        <f t="shared" si="12"/>
        <v>0.14399999999999993</v>
      </c>
    </row>
    <row r="126" spans="1:3" x14ac:dyDescent="0.25">
      <c r="A126" s="9">
        <v>3.85</v>
      </c>
      <c r="B126" s="2">
        <f t="shared" si="11"/>
        <v>0.123</v>
      </c>
      <c r="C126">
        <f t="shared" si="12"/>
        <v>0.14299999999999999</v>
      </c>
    </row>
    <row r="127" spans="1:3" x14ac:dyDescent="0.25">
      <c r="A127" s="9">
        <v>3.9</v>
      </c>
      <c r="B127" s="2">
        <f t="shared" si="11"/>
        <v>0.122</v>
      </c>
      <c r="C127">
        <f t="shared" si="12"/>
        <v>0.14200000000000002</v>
      </c>
    </row>
    <row r="128" spans="1:3" x14ac:dyDescent="0.25">
      <c r="A128" s="9">
        <v>3.95</v>
      </c>
      <c r="B128" s="2">
        <f t="shared" si="11"/>
        <v>0.121</v>
      </c>
      <c r="C128">
        <f t="shared" si="12"/>
        <v>0.14100000000000001</v>
      </c>
    </row>
    <row r="129" spans="1:3" x14ac:dyDescent="0.25">
      <c r="A129" s="9">
        <v>4</v>
      </c>
      <c r="B129" s="2">
        <f t="shared" si="11"/>
        <v>0.12</v>
      </c>
      <c r="C129">
        <f t="shared" si="12"/>
        <v>0.14000000000000001</v>
      </c>
    </row>
    <row r="130" spans="1:3" x14ac:dyDescent="0.25">
      <c r="A130" s="9">
        <v>4.05</v>
      </c>
      <c r="B130" s="2">
        <f t="shared" si="11"/>
        <v>0.11900000000000001</v>
      </c>
      <c r="C130">
        <f t="shared" si="12"/>
        <v>0.13899999999999998</v>
      </c>
    </row>
    <row r="131" spans="1:3" x14ac:dyDescent="0.25">
      <c r="A131" s="9">
        <v>4.0999999999999996</v>
      </c>
      <c r="B131" s="2">
        <f t="shared" si="11"/>
        <v>0.11800000000000001</v>
      </c>
      <c r="C131">
        <f t="shared" si="12"/>
        <v>0.13799999999999998</v>
      </c>
    </row>
    <row r="132" spans="1:3" x14ac:dyDescent="0.25">
      <c r="A132" s="9">
        <v>4.1500000000000004</v>
      </c>
      <c r="B132" s="2">
        <f t="shared" si="11"/>
        <v>0.11699999999999999</v>
      </c>
      <c r="C132">
        <f t="shared" si="12"/>
        <v>0.13699999999999998</v>
      </c>
    </row>
    <row r="133" spans="1:3" x14ac:dyDescent="0.25">
      <c r="A133" s="9">
        <v>4.2</v>
      </c>
      <c r="B133" s="2">
        <f t="shared" si="11"/>
        <v>0.11599999999999999</v>
      </c>
      <c r="C133">
        <f t="shared" si="12"/>
        <v>0.13599999999999995</v>
      </c>
    </row>
    <row r="134" spans="1:3" x14ac:dyDescent="0.25">
      <c r="A134" s="9">
        <v>4.25</v>
      </c>
      <c r="B134" s="2">
        <f t="shared" si="11"/>
        <v>0.115</v>
      </c>
      <c r="C134">
        <f t="shared" si="12"/>
        <v>0.13500000000000004</v>
      </c>
    </row>
    <row r="135" spans="1:3" x14ac:dyDescent="0.25">
      <c r="A135" s="9">
        <v>4.3</v>
      </c>
      <c r="B135" s="2">
        <f t="shared" si="11"/>
        <v>0.114</v>
      </c>
      <c r="C135">
        <f t="shared" si="12"/>
        <v>0.13400000000000004</v>
      </c>
    </row>
    <row r="136" spans="1:3" x14ac:dyDescent="0.25">
      <c r="A136" s="9">
        <v>4.3499999999999996</v>
      </c>
      <c r="B136" s="2">
        <f t="shared" si="11"/>
        <v>0.113</v>
      </c>
      <c r="C136">
        <f t="shared" si="12"/>
        <v>0.13300000000000006</v>
      </c>
    </row>
    <row r="137" spans="1:3" x14ac:dyDescent="0.25">
      <c r="A137" s="9">
        <v>4.4000000000000004</v>
      </c>
      <c r="B137" s="2">
        <f t="shared" si="11"/>
        <v>0.11199999999999999</v>
      </c>
      <c r="C137">
        <f t="shared" si="12"/>
        <v>0.13200000000000001</v>
      </c>
    </row>
    <row r="138" spans="1:3" x14ac:dyDescent="0.25">
      <c r="A138" s="9">
        <v>4.45</v>
      </c>
      <c r="B138" s="2">
        <f t="shared" si="11"/>
        <v>0.111</v>
      </c>
      <c r="C138">
        <f t="shared" si="12"/>
        <v>0.13100000000000001</v>
      </c>
    </row>
    <row r="139" spans="1:3" x14ac:dyDescent="0.25">
      <c r="A139" s="9">
        <v>4.5</v>
      </c>
      <c r="B139" s="2">
        <f t="shared" si="11"/>
        <v>0.11</v>
      </c>
      <c r="C139">
        <f t="shared" si="12"/>
        <v>0.13</v>
      </c>
    </row>
    <row r="140" spans="1:3" x14ac:dyDescent="0.25">
      <c r="A140" s="9">
        <v>4.55</v>
      </c>
      <c r="B140" s="2">
        <f t="shared" si="11"/>
        <v>0.109</v>
      </c>
      <c r="C140">
        <f t="shared" si="12"/>
        <v>0.12900000000000003</v>
      </c>
    </row>
    <row r="141" spans="1:3" x14ac:dyDescent="0.25">
      <c r="A141" s="9">
        <v>4.5999999999999996</v>
      </c>
      <c r="B141" s="2">
        <f t="shared" si="11"/>
        <v>0.10800000000000001</v>
      </c>
      <c r="C141">
        <f t="shared" si="12"/>
        <v>0.12799999999999997</v>
      </c>
    </row>
    <row r="142" spans="1:3" x14ac:dyDescent="0.25">
      <c r="A142" s="9">
        <v>4.6500000000000004</v>
      </c>
      <c r="B142" s="2">
        <f t="shared" si="11"/>
        <v>0.107</v>
      </c>
      <c r="C142">
        <f t="shared" si="12"/>
        <v>0.127</v>
      </c>
    </row>
    <row r="143" spans="1:3" x14ac:dyDescent="0.25">
      <c r="A143" s="9">
        <v>4.7</v>
      </c>
      <c r="B143" s="2">
        <f t="shared" si="11"/>
        <v>0.106</v>
      </c>
      <c r="C143">
        <f t="shared" si="12"/>
        <v>0.12599999999999997</v>
      </c>
    </row>
    <row r="144" spans="1:3" x14ac:dyDescent="0.25">
      <c r="A144" s="9">
        <v>4.75</v>
      </c>
      <c r="B144" s="2">
        <f t="shared" si="11"/>
        <v>0.105</v>
      </c>
      <c r="C144">
        <f t="shared" si="12"/>
        <v>0.125</v>
      </c>
    </row>
    <row r="145" spans="1:3" x14ac:dyDescent="0.25">
      <c r="A145" s="9">
        <v>4.8</v>
      </c>
      <c r="B145" s="2">
        <f t="shared" si="11"/>
        <v>0.10400000000000001</v>
      </c>
      <c r="C145">
        <f t="shared" si="12"/>
        <v>0.12400000000000003</v>
      </c>
    </row>
    <row r="146" spans="1:3" x14ac:dyDescent="0.25">
      <c r="A146" s="9">
        <v>4.8499999999999996</v>
      </c>
      <c r="B146" s="2">
        <f t="shared" si="11"/>
        <v>0.10300000000000001</v>
      </c>
      <c r="C146">
        <f t="shared" si="12"/>
        <v>0.123</v>
      </c>
    </row>
    <row r="147" spans="1:3" x14ac:dyDescent="0.25">
      <c r="A147" s="9">
        <v>4.9000000000000004</v>
      </c>
      <c r="B147" s="2">
        <f t="shared" si="11"/>
        <v>0.10199999999999999</v>
      </c>
      <c r="C147">
        <f t="shared" si="12"/>
        <v>0.122</v>
      </c>
    </row>
    <row r="148" spans="1:3" x14ac:dyDescent="0.25">
      <c r="A148" s="9">
        <v>4.95</v>
      </c>
      <c r="B148" s="2">
        <f t="shared" si="11"/>
        <v>0.10099999999999999</v>
      </c>
      <c r="C148">
        <f t="shared" si="12"/>
        <v>0.12100000000000005</v>
      </c>
    </row>
    <row r="149" spans="1:3" x14ac:dyDescent="0.25">
      <c r="A149" s="9">
        <v>5</v>
      </c>
      <c r="B149" s="2">
        <f t="shared" si="11"/>
        <v>0.1</v>
      </c>
      <c r="C149">
        <f t="shared" si="12"/>
        <v>0.12</v>
      </c>
    </row>
    <row r="150" spans="1:3" x14ac:dyDescent="0.25">
      <c r="A150" s="9">
        <v>5.05</v>
      </c>
      <c r="B150" s="2">
        <f t="shared" si="11"/>
        <v>9.9000000000000005E-2</v>
      </c>
      <c r="C150">
        <f t="shared" si="12"/>
        <v>0.11899999999999999</v>
      </c>
    </row>
    <row r="151" spans="1:3" x14ac:dyDescent="0.25">
      <c r="A151" s="9">
        <v>5.0999999999999996</v>
      </c>
      <c r="B151" s="2">
        <f t="shared" si="11"/>
        <v>9.8000000000000004E-2</v>
      </c>
      <c r="C151">
        <f t="shared" si="12"/>
        <v>0.11799999999999999</v>
      </c>
    </row>
    <row r="152" spans="1:3" x14ac:dyDescent="0.25">
      <c r="A152" s="9">
        <v>5.15</v>
      </c>
      <c r="B152" s="2">
        <f t="shared" si="11"/>
        <v>9.6999999999999989E-2</v>
      </c>
      <c r="C152">
        <f t="shared" si="12"/>
        <v>0.11699999999999994</v>
      </c>
    </row>
    <row r="153" spans="1:3" x14ac:dyDescent="0.25">
      <c r="A153" s="9">
        <v>5.2</v>
      </c>
      <c r="B153" s="2">
        <f t="shared" si="11"/>
        <v>9.6000000000000002E-2</v>
      </c>
      <c r="C153">
        <f t="shared" si="12"/>
        <v>0.11599999999999999</v>
      </c>
    </row>
    <row r="154" spans="1:3" x14ac:dyDescent="0.25">
      <c r="A154" s="9">
        <v>5.25</v>
      </c>
      <c r="B154" s="2">
        <f t="shared" si="11"/>
        <v>9.5000000000000001E-2</v>
      </c>
      <c r="C154">
        <f t="shared" si="12"/>
        <v>0.11499999999999999</v>
      </c>
    </row>
    <row r="155" spans="1:3" x14ac:dyDescent="0.25">
      <c r="A155" s="9">
        <v>5.3</v>
      </c>
      <c r="B155" s="2">
        <f t="shared" si="11"/>
        <v>9.4E-2</v>
      </c>
      <c r="C155">
        <f t="shared" si="12"/>
        <v>0.11399999999999999</v>
      </c>
    </row>
    <row r="156" spans="1:3" x14ac:dyDescent="0.25">
      <c r="A156" s="9">
        <v>5.35</v>
      </c>
      <c r="B156" s="2">
        <f t="shared" si="11"/>
        <v>9.3000000000000013E-2</v>
      </c>
      <c r="C156">
        <f t="shared" si="12"/>
        <v>0.11300000000000004</v>
      </c>
    </row>
    <row r="157" spans="1:3" x14ac:dyDescent="0.25">
      <c r="A157" s="9">
        <v>5.4</v>
      </c>
      <c r="B157" s="2">
        <f t="shared" si="11"/>
        <v>9.1999999999999998E-2</v>
      </c>
      <c r="C157">
        <f t="shared" si="12"/>
        <v>0.11199999999999999</v>
      </c>
    </row>
    <row r="158" spans="1:3" x14ac:dyDescent="0.25">
      <c r="A158" s="9">
        <v>5.45</v>
      </c>
      <c r="B158" s="2">
        <f t="shared" si="11"/>
        <v>9.0999999999999998E-2</v>
      </c>
      <c r="C158">
        <f t="shared" si="12"/>
        <v>0.11099999999999999</v>
      </c>
    </row>
    <row r="159" spans="1:3" x14ac:dyDescent="0.25">
      <c r="A159" s="9">
        <v>5.5</v>
      </c>
      <c r="B159" s="2">
        <f t="shared" si="11"/>
        <v>0.09</v>
      </c>
      <c r="C159">
        <f t="shared" si="12"/>
        <v>0.10999999999999999</v>
      </c>
    </row>
    <row r="160" spans="1:3" x14ac:dyDescent="0.25">
      <c r="A160" s="9">
        <v>5.55</v>
      </c>
      <c r="B160" s="2">
        <f t="shared" si="11"/>
        <v>8.900000000000001E-2</v>
      </c>
      <c r="C160">
        <f t="shared" si="12"/>
        <v>0.10899999999999999</v>
      </c>
    </row>
    <row r="161" spans="1:3" x14ac:dyDescent="0.25">
      <c r="A161" s="9">
        <v>5.6</v>
      </c>
      <c r="B161" s="2">
        <f t="shared" si="11"/>
        <v>8.8000000000000009E-2</v>
      </c>
      <c r="C161">
        <f t="shared" si="12"/>
        <v>0.10800000000000004</v>
      </c>
    </row>
    <row r="162" spans="1:3" x14ac:dyDescent="0.25">
      <c r="A162" s="9">
        <v>5.65</v>
      </c>
      <c r="B162" s="2">
        <f t="shared" si="11"/>
        <v>8.6999999999999994E-2</v>
      </c>
      <c r="C162">
        <f t="shared" si="12"/>
        <v>0.10699999999999998</v>
      </c>
    </row>
    <row r="163" spans="1:3" x14ac:dyDescent="0.25">
      <c r="A163" s="9">
        <v>5.7</v>
      </c>
      <c r="B163" s="2">
        <f t="shared" si="11"/>
        <v>8.5999999999999993E-2</v>
      </c>
      <c r="C163">
        <f t="shared" si="12"/>
        <v>0.10600000000000004</v>
      </c>
    </row>
    <row r="164" spans="1:3" x14ac:dyDescent="0.25">
      <c r="A164" s="9">
        <v>5.75</v>
      </c>
      <c r="B164" s="2">
        <f t="shared" si="11"/>
        <v>8.5000000000000006E-2</v>
      </c>
      <c r="C164">
        <f t="shared" si="12"/>
        <v>0.10499999999999998</v>
      </c>
    </row>
    <row r="165" spans="1:3" x14ac:dyDescent="0.25">
      <c r="A165" s="9">
        <v>5.8</v>
      </c>
      <c r="B165" s="2">
        <f t="shared" si="11"/>
        <v>8.4000000000000005E-2</v>
      </c>
      <c r="C165">
        <f t="shared" si="12"/>
        <v>0.10400000000000004</v>
      </c>
    </row>
    <row r="166" spans="1:3" x14ac:dyDescent="0.25">
      <c r="A166" s="9">
        <v>5.85</v>
      </c>
      <c r="B166" s="2">
        <f t="shared" si="11"/>
        <v>8.3000000000000004E-2</v>
      </c>
      <c r="C166">
        <f t="shared" si="12"/>
        <v>0.10299999999999998</v>
      </c>
    </row>
    <row r="167" spans="1:3" x14ac:dyDescent="0.25">
      <c r="A167" s="9">
        <v>5.9</v>
      </c>
      <c r="B167" s="2">
        <f t="shared" si="11"/>
        <v>8.199999999999999E-2</v>
      </c>
      <c r="C167">
        <f t="shared" si="12"/>
        <v>0.10199999999999998</v>
      </c>
    </row>
    <row r="168" spans="1:3" x14ac:dyDescent="0.25">
      <c r="A168" s="9">
        <v>5.95</v>
      </c>
      <c r="B168" s="2">
        <f t="shared" si="11"/>
        <v>8.1000000000000003E-2</v>
      </c>
      <c r="C168">
        <f t="shared" si="12"/>
        <v>0.10100000000000003</v>
      </c>
    </row>
    <row r="169" spans="1:3" x14ac:dyDescent="0.25">
      <c r="A169" s="9">
        <v>6</v>
      </c>
      <c r="B169" s="2">
        <f t="shared" si="11"/>
        <v>0.08</v>
      </c>
      <c r="C169">
        <f t="shared" si="12"/>
        <v>9.9999999999999978E-2</v>
      </c>
    </row>
    <row r="170" spans="1:3" x14ac:dyDescent="0.25">
      <c r="A170" s="9">
        <v>6.05</v>
      </c>
      <c r="B170" s="2">
        <f t="shared" si="11"/>
        <v>7.9000000000000001E-2</v>
      </c>
      <c r="C170">
        <f t="shared" si="12"/>
        <v>9.9000000000000032E-2</v>
      </c>
    </row>
    <row r="171" spans="1:3" x14ac:dyDescent="0.25">
      <c r="A171" s="9">
        <v>6.1</v>
      </c>
      <c r="B171" s="2">
        <f t="shared" si="11"/>
        <v>7.8000000000000014E-2</v>
      </c>
      <c r="C171">
        <f t="shared" si="12"/>
        <v>9.8000000000000032E-2</v>
      </c>
    </row>
    <row r="172" spans="1:3" x14ac:dyDescent="0.25">
      <c r="A172" s="9">
        <v>6.15</v>
      </c>
      <c r="B172" s="2">
        <f t="shared" si="11"/>
        <v>7.6999999999999999E-2</v>
      </c>
      <c r="C172">
        <f t="shared" si="12"/>
        <v>9.7000000000000031E-2</v>
      </c>
    </row>
    <row r="173" spans="1:3" x14ac:dyDescent="0.25">
      <c r="A173" s="9">
        <v>6.2</v>
      </c>
      <c r="B173" s="2">
        <f t="shared" si="11"/>
        <v>7.5999999999999998E-2</v>
      </c>
      <c r="C173">
        <f t="shared" si="12"/>
        <v>9.600000000000003E-2</v>
      </c>
    </row>
    <row r="174" spans="1:3" x14ac:dyDescent="0.25">
      <c r="A174" s="9">
        <v>6.25</v>
      </c>
      <c r="B174" s="2">
        <f t="shared" si="11"/>
        <v>7.4999999999999997E-2</v>
      </c>
      <c r="C174">
        <f t="shared" si="12"/>
        <v>9.4999999999999973E-2</v>
      </c>
    </row>
    <row r="175" spans="1:3" x14ac:dyDescent="0.25">
      <c r="A175" s="9">
        <v>6.3</v>
      </c>
      <c r="B175" s="2">
        <f t="shared" si="11"/>
        <v>7.400000000000001E-2</v>
      </c>
      <c r="C175">
        <f t="shared" si="12"/>
        <v>9.3999999999999972E-2</v>
      </c>
    </row>
    <row r="176" spans="1:3" x14ac:dyDescent="0.25">
      <c r="A176" s="9">
        <v>6.35</v>
      </c>
      <c r="B176" s="2">
        <f t="shared" si="11"/>
        <v>7.3000000000000009E-2</v>
      </c>
      <c r="C176">
        <f t="shared" si="12"/>
        <v>9.2999999999999972E-2</v>
      </c>
    </row>
    <row r="177" spans="1:3" x14ac:dyDescent="0.25">
      <c r="A177" s="9">
        <v>6.4</v>
      </c>
      <c r="B177" s="2">
        <f t="shared" si="11"/>
        <v>7.1999999999999995E-2</v>
      </c>
      <c r="C177">
        <f t="shared" si="12"/>
        <v>9.2000000000000026E-2</v>
      </c>
    </row>
    <row r="178" spans="1:3" x14ac:dyDescent="0.25">
      <c r="A178" s="9">
        <v>6.45</v>
      </c>
      <c r="B178" s="2">
        <f t="shared" ref="B178:B241" si="13">Tria(A178,$A$2,$B$2,$C$2,0)</f>
        <v>7.0999999999999994E-2</v>
      </c>
      <c r="C178">
        <f t="shared" ref="C178:C241" si="14">pdf_Tria(A178,2,$A$2,$B$2,$C$2)</f>
        <v>9.1000000000000025E-2</v>
      </c>
    </row>
    <row r="179" spans="1:3" x14ac:dyDescent="0.25">
      <c r="A179" s="9">
        <v>6.5</v>
      </c>
      <c r="B179" s="2">
        <f t="shared" si="13"/>
        <v>7.0000000000000007E-2</v>
      </c>
      <c r="C179">
        <f t="shared" si="14"/>
        <v>8.9999999999999969E-2</v>
      </c>
    </row>
    <row r="180" spans="1:3" x14ac:dyDescent="0.25">
      <c r="A180" s="9">
        <v>6.55</v>
      </c>
      <c r="B180" s="2">
        <f t="shared" si="13"/>
        <v>6.9000000000000006E-2</v>
      </c>
      <c r="C180">
        <f t="shared" si="14"/>
        <v>8.8999999999999968E-2</v>
      </c>
    </row>
    <row r="181" spans="1:3" x14ac:dyDescent="0.25">
      <c r="A181" s="9">
        <v>6.6</v>
      </c>
      <c r="B181" s="2">
        <f t="shared" si="13"/>
        <v>6.8000000000000005E-2</v>
      </c>
      <c r="C181">
        <f t="shared" si="14"/>
        <v>8.8000000000000023E-2</v>
      </c>
    </row>
    <row r="182" spans="1:3" x14ac:dyDescent="0.25">
      <c r="A182" s="9">
        <v>6.65</v>
      </c>
      <c r="B182" s="2">
        <f t="shared" si="13"/>
        <v>6.699999999999999E-2</v>
      </c>
      <c r="C182">
        <f t="shared" si="14"/>
        <v>8.6999999999999966E-2</v>
      </c>
    </row>
    <row r="183" spans="1:3" x14ac:dyDescent="0.25">
      <c r="A183" s="9">
        <v>6.7</v>
      </c>
      <c r="B183" s="2">
        <f t="shared" si="13"/>
        <v>6.6000000000000003E-2</v>
      </c>
      <c r="C183">
        <f t="shared" si="14"/>
        <v>8.6000000000000021E-2</v>
      </c>
    </row>
    <row r="184" spans="1:3" x14ac:dyDescent="0.25">
      <c r="A184" s="9">
        <v>6.75</v>
      </c>
      <c r="B184" s="2">
        <f t="shared" si="13"/>
        <v>6.5000000000000002E-2</v>
      </c>
      <c r="C184">
        <f t="shared" si="14"/>
        <v>8.500000000000002E-2</v>
      </c>
    </row>
    <row r="185" spans="1:3" x14ac:dyDescent="0.25">
      <c r="A185" s="9">
        <v>6.8</v>
      </c>
      <c r="B185" s="2">
        <f t="shared" si="13"/>
        <v>6.4000000000000001E-2</v>
      </c>
      <c r="C185">
        <f t="shared" si="14"/>
        <v>8.3999999999999964E-2</v>
      </c>
    </row>
    <row r="186" spans="1:3" x14ac:dyDescent="0.25">
      <c r="A186" s="9">
        <v>6.85</v>
      </c>
      <c r="B186" s="2">
        <f t="shared" si="13"/>
        <v>6.3E-2</v>
      </c>
      <c r="C186">
        <f t="shared" si="14"/>
        <v>8.3000000000000018E-2</v>
      </c>
    </row>
    <row r="187" spans="1:3" x14ac:dyDescent="0.25">
      <c r="A187" s="9">
        <v>6.9</v>
      </c>
      <c r="B187" s="2">
        <f t="shared" si="13"/>
        <v>6.1999999999999993E-2</v>
      </c>
      <c r="C187">
        <f t="shared" si="14"/>
        <v>8.2000000000000017E-2</v>
      </c>
    </row>
    <row r="188" spans="1:3" x14ac:dyDescent="0.25">
      <c r="A188" s="9">
        <v>6.95</v>
      </c>
      <c r="B188" s="2">
        <f t="shared" si="13"/>
        <v>6.0999999999999999E-2</v>
      </c>
      <c r="C188">
        <f t="shared" si="14"/>
        <v>8.0999999999999961E-2</v>
      </c>
    </row>
    <row r="189" spans="1:3" x14ac:dyDescent="0.25">
      <c r="A189" s="9">
        <v>7</v>
      </c>
      <c r="B189" s="2">
        <f t="shared" si="13"/>
        <v>0.06</v>
      </c>
      <c r="C189">
        <f t="shared" si="14"/>
        <v>8.0000000000000016E-2</v>
      </c>
    </row>
    <row r="190" spans="1:3" x14ac:dyDescent="0.25">
      <c r="A190" s="9">
        <v>7.05</v>
      </c>
      <c r="B190" s="2">
        <f t="shared" si="13"/>
        <v>5.9000000000000004E-2</v>
      </c>
      <c r="C190">
        <f t="shared" si="14"/>
        <v>7.9000000000000015E-2</v>
      </c>
    </row>
    <row r="191" spans="1:3" x14ac:dyDescent="0.25">
      <c r="A191" s="9">
        <v>7.1</v>
      </c>
      <c r="B191" s="2">
        <f t="shared" si="13"/>
        <v>5.800000000000001E-2</v>
      </c>
      <c r="C191">
        <f t="shared" si="14"/>
        <v>7.8000000000000014E-2</v>
      </c>
    </row>
    <row r="192" spans="1:3" x14ac:dyDescent="0.25">
      <c r="A192" s="9">
        <v>7.15</v>
      </c>
      <c r="B192" s="2">
        <f t="shared" si="13"/>
        <v>5.6999999999999995E-2</v>
      </c>
      <c r="C192">
        <f t="shared" si="14"/>
        <v>7.7000000000000013E-2</v>
      </c>
    </row>
    <row r="193" spans="1:3" x14ac:dyDescent="0.25">
      <c r="A193" s="9">
        <v>7.2</v>
      </c>
      <c r="B193" s="2">
        <f t="shared" si="13"/>
        <v>5.5999999999999994E-2</v>
      </c>
      <c r="C193">
        <f t="shared" si="14"/>
        <v>7.5999999999999956E-2</v>
      </c>
    </row>
    <row r="194" spans="1:3" x14ac:dyDescent="0.25">
      <c r="A194" s="9">
        <v>7.25</v>
      </c>
      <c r="B194" s="2">
        <f t="shared" si="13"/>
        <v>5.5E-2</v>
      </c>
      <c r="C194">
        <f t="shared" si="14"/>
        <v>7.4999999999999956E-2</v>
      </c>
    </row>
    <row r="195" spans="1:3" x14ac:dyDescent="0.25">
      <c r="A195" s="9">
        <v>7.3</v>
      </c>
      <c r="B195" s="2">
        <f t="shared" si="13"/>
        <v>5.4000000000000006E-2</v>
      </c>
      <c r="C195">
        <f t="shared" si="14"/>
        <v>7.400000000000001E-2</v>
      </c>
    </row>
    <row r="196" spans="1:3" x14ac:dyDescent="0.25">
      <c r="A196" s="9">
        <v>7.35</v>
      </c>
      <c r="B196" s="2">
        <f t="shared" si="13"/>
        <v>5.3000000000000005E-2</v>
      </c>
      <c r="C196">
        <f t="shared" si="14"/>
        <v>7.3000000000000009E-2</v>
      </c>
    </row>
    <row r="197" spans="1:3" x14ac:dyDescent="0.25">
      <c r="A197" s="9">
        <v>7.4</v>
      </c>
      <c r="B197" s="2">
        <f t="shared" si="13"/>
        <v>5.1999999999999991E-2</v>
      </c>
      <c r="C197">
        <f t="shared" si="14"/>
        <v>7.2000000000000008E-2</v>
      </c>
    </row>
    <row r="198" spans="1:3" x14ac:dyDescent="0.25">
      <c r="A198" s="9">
        <v>7.45</v>
      </c>
      <c r="B198" s="2">
        <f t="shared" si="13"/>
        <v>5.0999999999999997E-2</v>
      </c>
      <c r="C198">
        <f t="shared" si="14"/>
        <v>7.1000000000000008E-2</v>
      </c>
    </row>
    <row r="199" spans="1:3" x14ac:dyDescent="0.25">
      <c r="A199" s="9">
        <v>7.5</v>
      </c>
      <c r="B199" s="2">
        <f t="shared" si="13"/>
        <v>0.05</v>
      </c>
      <c r="C199">
        <f t="shared" si="14"/>
        <v>7.0000000000000007E-2</v>
      </c>
    </row>
    <row r="200" spans="1:3" x14ac:dyDescent="0.25">
      <c r="A200" s="9">
        <v>7.55</v>
      </c>
      <c r="B200" s="2">
        <f t="shared" si="13"/>
        <v>4.9000000000000002E-2</v>
      </c>
      <c r="C200">
        <f t="shared" si="14"/>
        <v>6.9000000000000006E-2</v>
      </c>
    </row>
    <row r="201" spans="1:3" x14ac:dyDescent="0.25">
      <c r="A201" s="9">
        <v>7.6</v>
      </c>
      <c r="B201" s="2">
        <f t="shared" si="13"/>
        <v>4.8000000000000008E-2</v>
      </c>
      <c r="C201">
        <f t="shared" si="14"/>
        <v>6.8000000000000005E-2</v>
      </c>
    </row>
    <row r="202" spans="1:3" x14ac:dyDescent="0.25">
      <c r="A202" s="9">
        <v>7.65</v>
      </c>
      <c r="B202" s="2">
        <f t="shared" si="13"/>
        <v>4.6999999999999993E-2</v>
      </c>
      <c r="C202">
        <f t="shared" si="14"/>
        <v>6.7000000000000004E-2</v>
      </c>
    </row>
    <row r="203" spans="1:3" x14ac:dyDescent="0.25">
      <c r="A203" s="9">
        <v>7.7</v>
      </c>
      <c r="B203" s="2">
        <f t="shared" si="13"/>
        <v>4.5999999999999999E-2</v>
      </c>
      <c r="C203">
        <f t="shared" si="14"/>
        <v>6.6000000000000003E-2</v>
      </c>
    </row>
    <row r="204" spans="1:3" x14ac:dyDescent="0.25">
      <c r="A204" s="9">
        <v>7.75</v>
      </c>
      <c r="B204" s="2">
        <f t="shared" si="13"/>
        <v>4.4999999999999998E-2</v>
      </c>
      <c r="C204">
        <f t="shared" si="14"/>
        <v>6.5000000000000002E-2</v>
      </c>
    </row>
    <row r="205" spans="1:3" x14ac:dyDescent="0.25">
      <c r="A205" s="9">
        <v>7.8</v>
      </c>
      <c r="B205" s="2">
        <f t="shared" si="13"/>
        <v>4.4000000000000004E-2</v>
      </c>
      <c r="C205">
        <f t="shared" si="14"/>
        <v>6.4000000000000001E-2</v>
      </c>
    </row>
    <row r="206" spans="1:3" x14ac:dyDescent="0.25">
      <c r="A206" s="9">
        <v>7.85</v>
      </c>
      <c r="B206" s="2">
        <f t="shared" si="13"/>
        <v>4.300000000000001E-2</v>
      </c>
      <c r="C206">
        <f t="shared" si="14"/>
        <v>6.3000000000000056E-2</v>
      </c>
    </row>
    <row r="207" spans="1:3" x14ac:dyDescent="0.25">
      <c r="A207" s="9">
        <v>7.9</v>
      </c>
      <c r="B207" s="2">
        <f t="shared" si="13"/>
        <v>4.1999999999999996E-2</v>
      </c>
      <c r="C207">
        <f t="shared" si="14"/>
        <v>6.2E-2</v>
      </c>
    </row>
    <row r="208" spans="1:3" x14ac:dyDescent="0.25">
      <c r="A208" s="9">
        <v>7.95</v>
      </c>
      <c r="B208" s="2">
        <f t="shared" si="13"/>
        <v>4.0999999999999995E-2</v>
      </c>
      <c r="C208">
        <f t="shared" si="14"/>
        <v>6.0999999999999999E-2</v>
      </c>
    </row>
    <row r="209" spans="1:3" x14ac:dyDescent="0.25">
      <c r="A209" s="9">
        <v>8</v>
      </c>
      <c r="B209" s="2">
        <f t="shared" si="13"/>
        <v>0.04</v>
      </c>
      <c r="C209">
        <f t="shared" si="14"/>
        <v>0.06</v>
      </c>
    </row>
    <row r="210" spans="1:3" x14ac:dyDescent="0.25">
      <c r="A210" s="9">
        <v>8.0500000000000007</v>
      </c>
      <c r="B210" s="2">
        <f t="shared" si="13"/>
        <v>3.8999999999999986E-2</v>
      </c>
      <c r="C210">
        <f t="shared" si="14"/>
        <v>5.8999999999999997E-2</v>
      </c>
    </row>
    <row r="211" spans="1:3" x14ac:dyDescent="0.25">
      <c r="A211" s="9">
        <v>8.1</v>
      </c>
      <c r="B211" s="2">
        <f t="shared" si="13"/>
        <v>3.8000000000000006E-2</v>
      </c>
      <c r="C211">
        <f t="shared" si="14"/>
        <v>5.7999999999999996E-2</v>
      </c>
    </row>
    <row r="212" spans="1:3" x14ac:dyDescent="0.25">
      <c r="A212" s="9">
        <v>8.15</v>
      </c>
      <c r="B212" s="2">
        <f t="shared" si="13"/>
        <v>3.6999999999999991E-2</v>
      </c>
      <c r="C212">
        <f t="shared" si="14"/>
        <v>5.6999999999999995E-2</v>
      </c>
    </row>
    <row r="213" spans="1:3" x14ac:dyDescent="0.25">
      <c r="A213" s="9">
        <v>8.1999999999999993</v>
      </c>
      <c r="B213" s="2">
        <f t="shared" si="13"/>
        <v>3.6000000000000011E-2</v>
      </c>
      <c r="C213">
        <f t="shared" si="14"/>
        <v>5.600000000000005E-2</v>
      </c>
    </row>
    <row r="214" spans="1:3" x14ac:dyDescent="0.25">
      <c r="A214" s="9">
        <v>8.25</v>
      </c>
      <c r="B214" s="2">
        <f t="shared" si="13"/>
        <v>3.5000000000000003E-2</v>
      </c>
      <c r="C214">
        <f t="shared" si="14"/>
        <v>5.4999999999999993E-2</v>
      </c>
    </row>
    <row r="215" spans="1:3" x14ac:dyDescent="0.25">
      <c r="A215" s="9">
        <v>8.3000000000000007</v>
      </c>
      <c r="B215" s="2">
        <f t="shared" si="13"/>
        <v>3.3999999999999989E-2</v>
      </c>
      <c r="C215">
        <f t="shared" si="14"/>
        <v>5.3999999999999992E-2</v>
      </c>
    </row>
    <row r="216" spans="1:3" x14ac:dyDescent="0.25">
      <c r="A216" s="9">
        <v>8.35</v>
      </c>
      <c r="B216" s="2">
        <f t="shared" si="13"/>
        <v>3.3000000000000008E-2</v>
      </c>
      <c r="C216">
        <f t="shared" si="14"/>
        <v>5.2999999999999992E-2</v>
      </c>
    </row>
    <row r="217" spans="1:3" x14ac:dyDescent="0.25">
      <c r="A217" s="9">
        <v>8.4</v>
      </c>
      <c r="B217" s="2">
        <f t="shared" si="13"/>
        <v>3.1999999999999994E-2</v>
      </c>
      <c r="C217">
        <f t="shared" si="14"/>
        <v>5.1999999999999991E-2</v>
      </c>
    </row>
    <row r="218" spans="1:3" x14ac:dyDescent="0.25">
      <c r="A218" s="9">
        <v>8.4499999999999993</v>
      </c>
      <c r="B218" s="2">
        <f t="shared" si="13"/>
        <v>3.1000000000000014E-2</v>
      </c>
      <c r="C218">
        <f t="shared" si="14"/>
        <v>5.099999999999999E-2</v>
      </c>
    </row>
    <row r="219" spans="1:3" x14ac:dyDescent="0.25">
      <c r="A219" s="9">
        <v>8.5</v>
      </c>
      <c r="B219" s="2">
        <f t="shared" si="13"/>
        <v>0.03</v>
      </c>
      <c r="C219">
        <f t="shared" si="14"/>
        <v>5.0000000000000044E-2</v>
      </c>
    </row>
    <row r="220" spans="1:3" x14ac:dyDescent="0.25">
      <c r="A220" s="9">
        <v>8.5500000000000007</v>
      </c>
      <c r="B220" s="2">
        <f t="shared" si="13"/>
        <v>2.8999999999999984E-2</v>
      </c>
      <c r="C220">
        <f t="shared" si="14"/>
        <v>4.8999999999999988E-2</v>
      </c>
    </row>
    <row r="221" spans="1:3" x14ac:dyDescent="0.25">
      <c r="A221" s="9">
        <v>8.6</v>
      </c>
      <c r="B221" s="2">
        <f t="shared" si="13"/>
        <v>2.8000000000000008E-2</v>
      </c>
      <c r="C221">
        <f t="shared" si="14"/>
        <v>4.7999999999999987E-2</v>
      </c>
    </row>
    <row r="222" spans="1:3" x14ac:dyDescent="0.25">
      <c r="A222" s="9">
        <v>8.65</v>
      </c>
      <c r="B222" s="2">
        <f t="shared" si="13"/>
        <v>2.6999999999999993E-2</v>
      </c>
      <c r="C222">
        <f t="shared" si="14"/>
        <v>4.7000000000000042E-2</v>
      </c>
    </row>
    <row r="223" spans="1:3" x14ac:dyDescent="0.25">
      <c r="A223" s="9">
        <v>8.6999999999999993</v>
      </c>
      <c r="B223" s="2">
        <f t="shared" si="13"/>
        <v>2.6000000000000013E-2</v>
      </c>
      <c r="C223">
        <f t="shared" si="14"/>
        <v>4.5999999999999985E-2</v>
      </c>
    </row>
    <row r="224" spans="1:3" x14ac:dyDescent="0.25">
      <c r="A224" s="9">
        <v>8.75</v>
      </c>
      <c r="B224" s="2">
        <f t="shared" si="13"/>
        <v>2.5000000000000001E-2</v>
      </c>
      <c r="C224">
        <f t="shared" si="14"/>
        <v>4.4999999999999984E-2</v>
      </c>
    </row>
    <row r="225" spans="1:3" x14ac:dyDescent="0.25">
      <c r="A225" s="9">
        <v>8.8000000000000007</v>
      </c>
      <c r="B225" s="2">
        <f t="shared" si="13"/>
        <v>2.3999999999999987E-2</v>
      </c>
      <c r="C225">
        <f t="shared" si="14"/>
        <v>4.3999999999999984E-2</v>
      </c>
    </row>
    <row r="226" spans="1:3" x14ac:dyDescent="0.25">
      <c r="A226" s="9">
        <v>8.85</v>
      </c>
      <c r="B226" s="2">
        <f t="shared" si="13"/>
        <v>2.3000000000000007E-2</v>
      </c>
      <c r="C226">
        <f t="shared" si="14"/>
        <v>4.2999999999999983E-2</v>
      </c>
    </row>
    <row r="227" spans="1:3" x14ac:dyDescent="0.25">
      <c r="A227" s="9">
        <v>8.9</v>
      </c>
      <c r="B227" s="2">
        <f t="shared" si="13"/>
        <v>2.1999999999999992E-2</v>
      </c>
      <c r="C227">
        <f t="shared" si="14"/>
        <v>4.1999999999999982E-2</v>
      </c>
    </row>
    <row r="228" spans="1:3" x14ac:dyDescent="0.25">
      <c r="A228" s="9">
        <v>8.9499999999999993</v>
      </c>
      <c r="B228" s="2">
        <f t="shared" si="13"/>
        <v>2.1000000000000015E-2</v>
      </c>
      <c r="C228">
        <f t="shared" si="14"/>
        <v>4.0999999999999981E-2</v>
      </c>
    </row>
    <row r="229" spans="1:3" x14ac:dyDescent="0.25">
      <c r="A229" s="9">
        <v>9</v>
      </c>
      <c r="B229" s="2">
        <f t="shared" si="13"/>
        <v>0.02</v>
      </c>
      <c r="C229">
        <f t="shared" si="14"/>
        <v>3.999999999999998E-2</v>
      </c>
    </row>
    <row r="230" spans="1:3" x14ac:dyDescent="0.25">
      <c r="A230" s="9">
        <v>9.0500000000000007</v>
      </c>
      <c r="B230" s="2">
        <f t="shared" si="13"/>
        <v>1.8999999999999986E-2</v>
      </c>
      <c r="C230">
        <f t="shared" si="14"/>
        <v>3.8999999999999979E-2</v>
      </c>
    </row>
    <row r="231" spans="1:3" x14ac:dyDescent="0.25">
      <c r="A231" s="9">
        <v>9.1</v>
      </c>
      <c r="B231" s="2">
        <f t="shared" si="13"/>
        <v>1.8000000000000006E-2</v>
      </c>
      <c r="C231">
        <f t="shared" si="14"/>
        <v>3.8000000000000034E-2</v>
      </c>
    </row>
    <row r="232" spans="1:3" x14ac:dyDescent="0.25">
      <c r="A232" s="9">
        <v>9.15</v>
      </c>
      <c r="B232" s="2">
        <f t="shared" si="13"/>
        <v>1.6999999999999994E-2</v>
      </c>
      <c r="C232">
        <f t="shared" si="14"/>
        <v>3.6999999999999977E-2</v>
      </c>
    </row>
    <row r="233" spans="1:3" x14ac:dyDescent="0.25">
      <c r="A233" s="9">
        <v>9.1999999999999993</v>
      </c>
      <c r="B233" s="2">
        <f t="shared" si="13"/>
        <v>1.6000000000000014E-2</v>
      </c>
      <c r="C233">
        <f t="shared" si="14"/>
        <v>3.6000000000000032E-2</v>
      </c>
    </row>
    <row r="234" spans="1:3" x14ac:dyDescent="0.25">
      <c r="A234" s="9">
        <v>9.25</v>
      </c>
      <c r="B234" s="2">
        <f t="shared" si="13"/>
        <v>1.4999999999999999E-2</v>
      </c>
      <c r="C234">
        <f t="shared" si="14"/>
        <v>3.5000000000000031E-2</v>
      </c>
    </row>
    <row r="235" spans="1:3" x14ac:dyDescent="0.25">
      <c r="A235" s="9">
        <v>9.3000000000000007</v>
      </c>
      <c r="B235" s="2">
        <f t="shared" si="13"/>
        <v>1.3999999999999986E-2</v>
      </c>
      <c r="C235">
        <f t="shared" si="14"/>
        <v>3.3999999999999975E-2</v>
      </c>
    </row>
    <row r="236" spans="1:3" x14ac:dyDescent="0.25">
      <c r="A236" s="9">
        <v>9.35</v>
      </c>
      <c r="B236" s="2">
        <f t="shared" si="13"/>
        <v>1.3000000000000006E-2</v>
      </c>
      <c r="C236">
        <f t="shared" si="14"/>
        <v>3.2999999999999974E-2</v>
      </c>
    </row>
    <row r="237" spans="1:3" x14ac:dyDescent="0.25">
      <c r="A237" s="9">
        <v>9.4</v>
      </c>
      <c r="B237" s="2">
        <f t="shared" si="13"/>
        <v>1.1999999999999993E-2</v>
      </c>
      <c r="C237">
        <f t="shared" si="14"/>
        <v>3.1999999999999973E-2</v>
      </c>
    </row>
    <row r="238" spans="1:3" x14ac:dyDescent="0.25">
      <c r="A238" s="9">
        <v>9.4499999999999993</v>
      </c>
      <c r="B238" s="2">
        <f t="shared" si="13"/>
        <v>1.1000000000000015E-2</v>
      </c>
      <c r="C238">
        <f t="shared" si="14"/>
        <v>3.0999999999999972E-2</v>
      </c>
    </row>
    <row r="239" spans="1:3" x14ac:dyDescent="0.25">
      <c r="A239" s="9">
        <v>9.5</v>
      </c>
      <c r="B239" s="2">
        <f t="shared" si="13"/>
        <v>0.01</v>
      </c>
      <c r="C239">
        <f t="shared" si="14"/>
        <v>3.0000000000000027E-2</v>
      </c>
    </row>
    <row r="240" spans="1:3" x14ac:dyDescent="0.25">
      <c r="A240" s="9">
        <v>9.5500000000000007</v>
      </c>
      <c r="B240" s="2">
        <f t="shared" si="13"/>
        <v>8.9999999999999854E-3</v>
      </c>
      <c r="C240">
        <f t="shared" si="14"/>
        <v>2.9000000000000026E-2</v>
      </c>
    </row>
    <row r="241" spans="1:3" x14ac:dyDescent="0.25">
      <c r="A241" s="9">
        <v>9.6</v>
      </c>
      <c r="B241" s="2">
        <f t="shared" si="13"/>
        <v>8.0000000000000071E-3</v>
      </c>
      <c r="C241">
        <f t="shared" si="14"/>
        <v>2.7999999999999969E-2</v>
      </c>
    </row>
    <row r="242" spans="1:3" x14ac:dyDescent="0.25">
      <c r="A242" s="9">
        <v>9.65</v>
      </c>
      <c r="B242" s="2">
        <f t="shared" ref="B242:B305" si="15">Tria(A242,$A$2,$B$2,$C$2,0)</f>
        <v>6.9999999999999932E-3</v>
      </c>
      <c r="C242">
        <f t="shared" ref="C242:C305" si="16">pdf_Tria(A242,2,$A$2,$B$2,$C$2)</f>
        <v>2.6999999999999968E-2</v>
      </c>
    </row>
    <row r="243" spans="1:3" x14ac:dyDescent="0.25">
      <c r="A243" s="9">
        <v>9.6999999999999993</v>
      </c>
      <c r="B243" s="2">
        <f t="shared" si="15"/>
        <v>6.000000000000014E-3</v>
      </c>
      <c r="C243">
        <f t="shared" si="16"/>
        <v>2.6000000000000023E-2</v>
      </c>
    </row>
    <row r="244" spans="1:3" x14ac:dyDescent="0.25">
      <c r="A244" s="9">
        <v>9.75</v>
      </c>
      <c r="B244" s="2">
        <f t="shared" si="15"/>
        <v>5.0000000000000001E-3</v>
      </c>
      <c r="C244">
        <f t="shared" si="16"/>
        <v>2.5000000000000022E-2</v>
      </c>
    </row>
    <row r="245" spans="1:3" x14ac:dyDescent="0.25">
      <c r="A245" s="9">
        <v>9.8000000000000007</v>
      </c>
      <c r="B245" s="2">
        <f t="shared" si="15"/>
        <v>3.9999999999999862E-3</v>
      </c>
      <c r="C245">
        <f t="shared" si="16"/>
        <v>2.4000000000000021E-2</v>
      </c>
    </row>
    <row r="246" spans="1:3" x14ac:dyDescent="0.25">
      <c r="A246" s="9">
        <v>9.85</v>
      </c>
      <c r="B246" s="2">
        <f t="shared" si="15"/>
        <v>3.000000000000007E-3</v>
      </c>
      <c r="C246">
        <f t="shared" si="16"/>
        <v>2.2999999999999965E-2</v>
      </c>
    </row>
    <row r="247" spans="1:3" x14ac:dyDescent="0.25">
      <c r="A247" s="9">
        <v>9.9</v>
      </c>
      <c r="B247" s="2">
        <f t="shared" si="15"/>
        <v>1.9999999999999931E-3</v>
      </c>
      <c r="C247">
        <f t="shared" si="16"/>
        <v>2.200000000000002E-2</v>
      </c>
    </row>
    <row r="248" spans="1:3" x14ac:dyDescent="0.25">
      <c r="A248" s="9">
        <v>9.9499999999999993</v>
      </c>
      <c r="B248" s="2">
        <f t="shared" si="15"/>
        <v>1.0000000000000141E-3</v>
      </c>
      <c r="C248">
        <f t="shared" si="16"/>
        <v>2.0999999999999963E-2</v>
      </c>
    </row>
    <row r="249" spans="1:3" x14ac:dyDescent="0.25">
      <c r="A249" s="9">
        <v>10</v>
      </c>
      <c r="B249" s="2">
        <f t="shared" si="15"/>
        <v>0</v>
      </c>
      <c r="C249">
        <f t="shared" si="16"/>
        <v>2.0000000000000018E-2</v>
      </c>
    </row>
    <row r="250" spans="1:3" x14ac:dyDescent="0.25">
      <c r="A250" s="9">
        <v>10.050000000000001</v>
      </c>
      <c r="B250" s="2">
        <f t="shared" si="15"/>
        <v>0</v>
      </c>
      <c r="C250">
        <f t="shared" si="16"/>
        <v>1.9012499999999988E-2</v>
      </c>
    </row>
    <row r="251" spans="1:3" x14ac:dyDescent="0.25">
      <c r="A251" s="9">
        <v>10.1</v>
      </c>
      <c r="B251" s="2">
        <f t="shared" si="15"/>
        <v>0</v>
      </c>
      <c r="C251">
        <f t="shared" si="16"/>
        <v>1.805000000000001E-2</v>
      </c>
    </row>
    <row r="252" spans="1:3" x14ac:dyDescent="0.25">
      <c r="A252" s="9">
        <v>10.15</v>
      </c>
      <c r="B252" s="2">
        <f t="shared" si="15"/>
        <v>0</v>
      </c>
      <c r="C252">
        <f t="shared" si="16"/>
        <v>1.7112499999999975E-2</v>
      </c>
    </row>
    <row r="253" spans="1:3" x14ac:dyDescent="0.25">
      <c r="A253" s="9">
        <v>10.199999999999999</v>
      </c>
      <c r="B253" s="2">
        <f t="shared" si="15"/>
        <v>0</v>
      </c>
      <c r="C253">
        <f t="shared" si="16"/>
        <v>1.6199999999999992E-2</v>
      </c>
    </row>
    <row r="254" spans="1:3" x14ac:dyDescent="0.25">
      <c r="A254" s="9">
        <v>10.25</v>
      </c>
      <c r="B254" s="2">
        <f t="shared" si="15"/>
        <v>0</v>
      </c>
      <c r="C254">
        <f t="shared" si="16"/>
        <v>1.5312500000000007E-2</v>
      </c>
    </row>
    <row r="255" spans="1:3" x14ac:dyDescent="0.25">
      <c r="A255" s="9">
        <v>10.3</v>
      </c>
      <c r="B255" s="2">
        <f t="shared" si="15"/>
        <v>0</v>
      </c>
      <c r="C255">
        <f t="shared" si="16"/>
        <v>1.4449999999999963E-2</v>
      </c>
    </row>
    <row r="256" spans="1:3" x14ac:dyDescent="0.25">
      <c r="A256" s="9">
        <v>10.35</v>
      </c>
      <c r="B256" s="2">
        <f t="shared" si="15"/>
        <v>0</v>
      </c>
      <c r="C256">
        <f t="shared" si="16"/>
        <v>1.3612500000000027E-2</v>
      </c>
    </row>
    <row r="257" spans="1:3" x14ac:dyDescent="0.25">
      <c r="A257" s="9">
        <v>10.4</v>
      </c>
      <c r="B257" s="2">
        <f t="shared" si="15"/>
        <v>0</v>
      </c>
      <c r="C257">
        <f t="shared" si="16"/>
        <v>1.2799999999999978E-2</v>
      </c>
    </row>
    <row r="258" spans="1:3" x14ac:dyDescent="0.25">
      <c r="A258" s="9">
        <v>10.45</v>
      </c>
      <c r="B258" s="2">
        <f t="shared" si="15"/>
        <v>0</v>
      </c>
      <c r="C258">
        <f t="shared" si="16"/>
        <v>1.2012500000000037E-2</v>
      </c>
    </row>
    <row r="259" spans="1:3" x14ac:dyDescent="0.25">
      <c r="A259" s="9">
        <v>10.5</v>
      </c>
      <c r="B259" s="2">
        <f t="shared" si="15"/>
        <v>0</v>
      </c>
      <c r="C259">
        <f t="shared" si="16"/>
        <v>1.1249999999999982E-2</v>
      </c>
    </row>
    <row r="260" spans="1:3" x14ac:dyDescent="0.25">
      <c r="A260" s="9">
        <v>10.55</v>
      </c>
      <c r="B260" s="2">
        <f t="shared" si="15"/>
        <v>0</v>
      </c>
      <c r="C260">
        <f t="shared" si="16"/>
        <v>1.051249999999998E-2</v>
      </c>
    </row>
    <row r="261" spans="1:3" x14ac:dyDescent="0.25">
      <c r="A261" s="9">
        <v>10.6</v>
      </c>
      <c r="B261" s="2">
        <f t="shared" si="15"/>
        <v>0</v>
      </c>
      <c r="C261">
        <f t="shared" si="16"/>
        <v>9.8000000000000309E-3</v>
      </c>
    </row>
    <row r="262" spans="1:3" x14ac:dyDescent="0.25">
      <c r="A262" s="9">
        <v>10.65</v>
      </c>
      <c r="B262" s="2">
        <f t="shared" si="15"/>
        <v>0</v>
      </c>
      <c r="C262">
        <f t="shared" si="16"/>
        <v>9.1124999999999678E-3</v>
      </c>
    </row>
    <row r="263" spans="1:3" x14ac:dyDescent="0.25">
      <c r="A263" s="9">
        <v>10.7</v>
      </c>
      <c r="B263" s="2">
        <f t="shared" si="15"/>
        <v>0</v>
      </c>
      <c r="C263">
        <f t="shared" si="16"/>
        <v>8.4500000000000131E-3</v>
      </c>
    </row>
    <row r="264" spans="1:3" x14ac:dyDescent="0.25">
      <c r="A264" s="9">
        <v>10.75</v>
      </c>
      <c r="B264" s="2">
        <f t="shared" si="15"/>
        <v>0</v>
      </c>
      <c r="C264">
        <f t="shared" si="16"/>
        <v>7.8125E-3</v>
      </c>
    </row>
    <row r="265" spans="1:3" x14ac:dyDescent="0.25">
      <c r="A265" s="9">
        <v>10.8</v>
      </c>
      <c r="B265" s="2">
        <f t="shared" si="15"/>
        <v>0</v>
      </c>
      <c r="C265">
        <f t="shared" si="16"/>
        <v>7.1999999999999842E-3</v>
      </c>
    </row>
    <row r="266" spans="1:3" x14ac:dyDescent="0.25">
      <c r="A266" s="9">
        <v>10.85</v>
      </c>
      <c r="B266" s="2">
        <f t="shared" si="15"/>
        <v>0</v>
      </c>
      <c r="C266">
        <f t="shared" si="16"/>
        <v>6.6125000000000211E-3</v>
      </c>
    </row>
    <row r="267" spans="1:3" x14ac:dyDescent="0.25">
      <c r="A267" s="9">
        <v>10.9</v>
      </c>
      <c r="B267" s="2">
        <f t="shared" si="15"/>
        <v>0</v>
      </c>
      <c r="C267">
        <f t="shared" si="16"/>
        <v>6.0499999999999998E-3</v>
      </c>
    </row>
    <row r="268" spans="1:3" x14ac:dyDescent="0.25">
      <c r="A268" s="9">
        <v>10.95</v>
      </c>
      <c r="B268" s="2">
        <f t="shared" si="15"/>
        <v>0</v>
      </c>
      <c r="C268">
        <f t="shared" si="16"/>
        <v>5.5125000000000313E-3</v>
      </c>
    </row>
    <row r="269" spans="1:3" x14ac:dyDescent="0.25">
      <c r="A269" s="9">
        <v>11</v>
      </c>
      <c r="B269" s="2">
        <f t="shared" si="15"/>
        <v>0</v>
      </c>
      <c r="C269">
        <f t="shared" si="16"/>
        <v>5.0000000000000044E-3</v>
      </c>
    </row>
    <row r="270" spans="1:3" x14ac:dyDescent="0.25">
      <c r="A270" s="9">
        <v>11.05</v>
      </c>
      <c r="B270" s="2">
        <f t="shared" si="15"/>
        <v>0</v>
      </c>
      <c r="C270">
        <f t="shared" si="16"/>
        <v>4.5124999999999749E-3</v>
      </c>
    </row>
    <row r="271" spans="1:3" x14ac:dyDescent="0.25">
      <c r="A271" s="9">
        <v>11.1</v>
      </c>
      <c r="B271" s="2">
        <f t="shared" si="15"/>
        <v>0</v>
      </c>
      <c r="C271">
        <f t="shared" si="16"/>
        <v>4.049999999999998E-3</v>
      </c>
    </row>
    <row r="272" spans="1:3" x14ac:dyDescent="0.25">
      <c r="A272" s="9">
        <v>11.15</v>
      </c>
      <c r="B272" s="2">
        <f t="shared" si="15"/>
        <v>0</v>
      </c>
      <c r="C272">
        <f t="shared" si="16"/>
        <v>3.6125000000000185E-3</v>
      </c>
    </row>
    <row r="273" spans="1:3" x14ac:dyDescent="0.25">
      <c r="A273" s="9">
        <v>11.2</v>
      </c>
      <c r="B273" s="2">
        <f t="shared" si="15"/>
        <v>0</v>
      </c>
      <c r="C273">
        <f t="shared" si="16"/>
        <v>3.1999999999999806E-3</v>
      </c>
    </row>
    <row r="274" spans="1:3" x14ac:dyDescent="0.25">
      <c r="A274" s="9">
        <v>11.25</v>
      </c>
      <c r="B274" s="2">
        <f t="shared" si="15"/>
        <v>0</v>
      </c>
      <c r="C274">
        <f t="shared" si="16"/>
        <v>2.8124999999999956E-3</v>
      </c>
    </row>
    <row r="275" spans="1:3" x14ac:dyDescent="0.25">
      <c r="A275" s="9">
        <v>11.3</v>
      </c>
      <c r="B275" s="2">
        <f t="shared" si="15"/>
        <v>0</v>
      </c>
      <c r="C275">
        <f t="shared" si="16"/>
        <v>2.4500000000000077E-3</v>
      </c>
    </row>
    <row r="276" spans="1:3" x14ac:dyDescent="0.25">
      <c r="A276" s="9">
        <v>11.35</v>
      </c>
      <c r="B276" s="2">
        <f t="shared" si="15"/>
        <v>0</v>
      </c>
      <c r="C276">
        <f t="shared" si="16"/>
        <v>2.1125000000000171E-3</v>
      </c>
    </row>
    <row r="277" spans="1:3" x14ac:dyDescent="0.25">
      <c r="A277" s="9">
        <v>11.4</v>
      </c>
      <c r="B277" s="2">
        <f t="shared" si="15"/>
        <v>0</v>
      </c>
      <c r="C277">
        <f t="shared" si="16"/>
        <v>1.8000000000000238E-3</v>
      </c>
    </row>
    <row r="278" spans="1:3" x14ac:dyDescent="0.25">
      <c r="A278" s="9">
        <v>11.45</v>
      </c>
      <c r="B278" s="2">
        <f t="shared" si="15"/>
        <v>0</v>
      </c>
      <c r="C278">
        <f t="shared" si="16"/>
        <v>1.5125000000000277E-3</v>
      </c>
    </row>
    <row r="279" spans="1:3" x14ac:dyDescent="0.25">
      <c r="A279" s="9">
        <v>11.5</v>
      </c>
      <c r="B279" s="2">
        <f t="shared" si="15"/>
        <v>0</v>
      </c>
      <c r="C279">
        <f t="shared" si="16"/>
        <v>1.2499999999999734E-3</v>
      </c>
    </row>
    <row r="280" spans="1:3" x14ac:dyDescent="0.25">
      <c r="A280" s="9">
        <v>11.55</v>
      </c>
      <c r="B280" s="2">
        <f t="shared" si="15"/>
        <v>0</v>
      </c>
      <c r="C280">
        <f t="shared" si="16"/>
        <v>1.0124999999999718E-3</v>
      </c>
    </row>
    <row r="281" spans="1:3" x14ac:dyDescent="0.25">
      <c r="A281" s="9">
        <v>11.6</v>
      </c>
      <c r="B281" s="2">
        <f t="shared" si="15"/>
        <v>0</v>
      </c>
      <c r="C281">
        <f t="shared" si="16"/>
        <v>8.0000000000002292E-4</v>
      </c>
    </row>
    <row r="282" spans="1:3" x14ac:dyDescent="0.25">
      <c r="A282" s="9">
        <v>11.65</v>
      </c>
      <c r="B282" s="2">
        <f t="shared" si="15"/>
        <v>0</v>
      </c>
      <c r="C282">
        <f t="shared" si="16"/>
        <v>6.1250000000001581E-4</v>
      </c>
    </row>
    <row r="283" spans="1:3" x14ac:dyDescent="0.25">
      <c r="A283" s="9">
        <v>11.7</v>
      </c>
      <c r="B283" s="2">
        <f t="shared" si="15"/>
        <v>0</v>
      </c>
      <c r="C283">
        <f t="shared" si="16"/>
        <v>4.5000000000000595E-4</v>
      </c>
    </row>
    <row r="284" spans="1:3" x14ac:dyDescent="0.25">
      <c r="A284" s="9">
        <v>11.75</v>
      </c>
      <c r="B284" s="2">
        <f t="shared" si="15"/>
        <v>0</v>
      </c>
      <c r="C284">
        <f t="shared" si="16"/>
        <v>3.1249999999999334E-4</v>
      </c>
    </row>
    <row r="285" spans="1:3" x14ac:dyDescent="0.25">
      <c r="A285" s="9">
        <v>11.8</v>
      </c>
      <c r="B285" s="2">
        <f t="shared" si="15"/>
        <v>0</v>
      </c>
      <c r="C285">
        <f t="shared" si="16"/>
        <v>1.9999999999997797E-4</v>
      </c>
    </row>
    <row r="286" spans="1:3" x14ac:dyDescent="0.25">
      <c r="A286" s="9">
        <v>11.85</v>
      </c>
      <c r="B286" s="2">
        <f t="shared" si="15"/>
        <v>0</v>
      </c>
      <c r="C286">
        <f t="shared" si="16"/>
        <v>1.1250000000001537E-4</v>
      </c>
    </row>
    <row r="287" spans="1:3" x14ac:dyDescent="0.25">
      <c r="A287" s="9">
        <v>11.9</v>
      </c>
      <c r="B287" s="2">
        <f t="shared" si="15"/>
        <v>0</v>
      </c>
      <c r="C287">
        <f t="shared" si="16"/>
        <v>4.9999999999994493E-5</v>
      </c>
    </row>
    <row r="288" spans="1:3" x14ac:dyDescent="0.25">
      <c r="A288" s="9">
        <v>11.95</v>
      </c>
      <c r="B288" s="2">
        <f t="shared" si="15"/>
        <v>0</v>
      </c>
      <c r="C288">
        <f t="shared" si="16"/>
        <v>1.2500000000026379E-5</v>
      </c>
    </row>
    <row r="289" spans="1:3" x14ac:dyDescent="0.25">
      <c r="A289" s="9">
        <v>12</v>
      </c>
      <c r="B289" s="2">
        <f t="shared" si="15"/>
        <v>0</v>
      </c>
      <c r="C289">
        <f t="shared" si="16"/>
        <v>0</v>
      </c>
    </row>
    <row r="290" spans="1:3" x14ac:dyDescent="0.25">
      <c r="A290" s="9">
        <v>12.05</v>
      </c>
      <c r="B290" s="2">
        <f t="shared" si="15"/>
        <v>0</v>
      </c>
      <c r="C290">
        <f t="shared" si="16"/>
        <v>0</v>
      </c>
    </row>
    <row r="291" spans="1:3" x14ac:dyDescent="0.25">
      <c r="A291" s="9">
        <v>12.1</v>
      </c>
      <c r="B291" s="2">
        <f t="shared" si="15"/>
        <v>0</v>
      </c>
      <c r="C291">
        <f t="shared" si="16"/>
        <v>0</v>
      </c>
    </row>
    <row r="292" spans="1:3" x14ac:dyDescent="0.25">
      <c r="A292" s="9">
        <v>12.15</v>
      </c>
      <c r="B292" s="2">
        <f t="shared" si="15"/>
        <v>0</v>
      </c>
      <c r="C292">
        <f t="shared" si="16"/>
        <v>0</v>
      </c>
    </row>
    <row r="293" spans="1:3" x14ac:dyDescent="0.25">
      <c r="A293" s="9">
        <v>12.2</v>
      </c>
      <c r="B293" s="2">
        <f t="shared" si="15"/>
        <v>0</v>
      </c>
      <c r="C293">
        <f t="shared" si="16"/>
        <v>0</v>
      </c>
    </row>
    <row r="294" spans="1:3" x14ac:dyDescent="0.25">
      <c r="A294" s="9">
        <v>12.25</v>
      </c>
      <c r="B294" s="2">
        <f t="shared" si="15"/>
        <v>0</v>
      </c>
      <c r="C294">
        <f t="shared" si="16"/>
        <v>0</v>
      </c>
    </row>
    <row r="295" spans="1:3" x14ac:dyDescent="0.25">
      <c r="A295" s="9">
        <v>12.3</v>
      </c>
      <c r="B295" s="2">
        <f t="shared" si="15"/>
        <v>0</v>
      </c>
      <c r="C295">
        <f t="shared" si="16"/>
        <v>0</v>
      </c>
    </row>
    <row r="296" spans="1:3" x14ac:dyDescent="0.25">
      <c r="A296" s="9">
        <v>12.35</v>
      </c>
      <c r="B296" s="2">
        <f t="shared" si="15"/>
        <v>0</v>
      </c>
      <c r="C296">
        <f t="shared" si="16"/>
        <v>0</v>
      </c>
    </row>
    <row r="297" spans="1:3" x14ac:dyDescent="0.25">
      <c r="A297" s="9">
        <v>12.4</v>
      </c>
      <c r="B297" s="2">
        <f t="shared" si="15"/>
        <v>0</v>
      </c>
      <c r="C297">
        <f t="shared" si="16"/>
        <v>0</v>
      </c>
    </row>
    <row r="298" spans="1:3" x14ac:dyDescent="0.25">
      <c r="A298" s="9">
        <v>12.45</v>
      </c>
      <c r="B298" s="2">
        <f t="shared" si="15"/>
        <v>0</v>
      </c>
      <c r="C298">
        <f t="shared" si="16"/>
        <v>0</v>
      </c>
    </row>
    <row r="299" spans="1:3" x14ac:dyDescent="0.25">
      <c r="A299" s="9">
        <v>12.5</v>
      </c>
      <c r="B299" s="2">
        <f t="shared" si="15"/>
        <v>0</v>
      </c>
      <c r="C299">
        <f t="shared" si="16"/>
        <v>0</v>
      </c>
    </row>
    <row r="300" spans="1:3" x14ac:dyDescent="0.25">
      <c r="A300" s="9">
        <v>12.55</v>
      </c>
      <c r="B300" s="2">
        <f t="shared" si="15"/>
        <v>0</v>
      </c>
      <c r="C300">
        <f t="shared" si="16"/>
        <v>0</v>
      </c>
    </row>
    <row r="301" spans="1:3" x14ac:dyDescent="0.25">
      <c r="A301" s="9">
        <v>12.6</v>
      </c>
      <c r="B301" s="2">
        <f t="shared" si="15"/>
        <v>0</v>
      </c>
      <c r="C301">
        <f t="shared" si="16"/>
        <v>0</v>
      </c>
    </row>
    <row r="302" spans="1:3" x14ac:dyDescent="0.25">
      <c r="A302" s="9">
        <v>12.65</v>
      </c>
      <c r="B302" s="2">
        <f t="shared" si="15"/>
        <v>0</v>
      </c>
      <c r="C302">
        <f t="shared" si="16"/>
        <v>0</v>
      </c>
    </row>
    <row r="303" spans="1:3" x14ac:dyDescent="0.25">
      <c r="A303" s="9">
        <v>12.7</v>
      </c>
      <c r="B303" s="2">
        <f t="shared" si="15"/>
        <v>0</v>
      </c>
      <c r="C303">
        <f t="shared" si="16"/>
        <v>0</v>
      </c>
    </row>
    <row r="304" spans="1:3" x14ac:dyDescent="0.25">
      <c r="A304" s="9">
        <v>12.75</v>
      </c>
      <c r="B304" s="2">
        <f t="shared" si="15"/>
        <v>0</v>
      </c>
      <c r="C304">
        <f t="shared" si="16"/>
        <v>0</v>
      </c>
    </row>
    <row r="305" spans="1:3" x14ac:dyDescent="0.25">
      <c r="A305" s="9">
        <v>12.8</v>
      </c>
      <c r="B305" s="2">
        <f t="shared" si="15"/>
        <v>0</v>
      </c>
      <c r="C305">
        <f t="shared" si="16"/>
        <v>0</v>
      </c>
    </row>
    <row r="306" spans="1:3" x14ac:dyDescent="0.25">
      <c r="A306" s="9">
        <v>12.85</v>
      </c>
      <c r="B306" s="2">
        <f t="shared" ref="B306:B369" si="17">Tria(A306,$A$2,$B$2,$C$2,0)</f>
        <v>0</v>
      </c>
      <c r="C306">
        <f t="shared" ref="C306:C369" si="18">pdf_Tria(A306,2,$A$2,$B$2,$C$2)</f>
        <v>0</v>
      </c>
    </row>
    <row r="307" spans="1:3" x14ac:dyDescent="0.25">
      <c r="A307" s="9">
        <v>12.9</v>
      </c>
      <c r="B307" s="2">
        <f t="shared" si="17"/>
        <v>0</v>
      </c>
      <c r="C307">
        <f t="shared" si="18"/>
        <v>0</v>
      </c>
    </row>
    <row r="308" spans="1:3" x14ac:dyDescent="0.25">
      <c r="A308" s="9">
        <v>12.95</v>
      </c>
      <c r="B308" s="2">
        <f t="shared" si="17"/>
        <v>0</v>
      </c>
      <c r="C308">
        <f t="shared" si="18"/>
        <v>0</v>
      </c>
    </row>
    <row r="309" spans="1:3" x14ac:dyDescent="0.25">
      <c r="A309" s="9">
        <v>13</v>
      </c>
      <c r="B309" s="2">
        <f t="shared" si="17"/>
        <v>0</v>
      </c>
      <c r="C309">
        <f t="shared" si="18"/>
        <v>0</v>
      </c>
    </row>
    <row r="310" spans="1:3" x14ac:dyDescent="0.25">
      <c r="A310" s="9">
        <v>13.05</v>
      </c>
      <c r="B310" s="2">
        <f t="shared" si="17"/>
        <v>0</v>
      </c>
      <c r="C310">
        <f t="shared" si="18"/>
        <v>0</v>
      </c>
    </row>
    <row r="311" spans="1:3" x14ac:dyDescent="0.25">
      <c r="A311" s="9">
        <v>13.1</v>
      </c>
      <c r="B311" s="2">
        <f t="shared" si="17"/>
        <v>0</v>
      </c>
      <c r="C311">
        <f t="shared" si="18"/>
        <v>0</v>
      </c>
    </row>
    <row r="312" spans="1:3" x14ac:dyDescent="0.25">
      <c r="A312" s="9">
        <v>13.15</v>
      </c>
      <c r="B312" s="2">
        <f t="shared" si="17"/>
        <v>0</v>
      </c>
      <c r="C312">
        <f t="shared" si="18"/>
        <v>0</v>
      </c>
    </row>
    <row r="313" spans="1:3" x14ac:dyDescent="0.25">
      <c r="A313" s="9">
        <v>13.2</v>
      </c>
      <c r="B313" s="2">
        <f t="shared" si="17"/>
        <v>0</v>
      </c>
      <c r="C313">
        <f t="shared" si="18"/>
        <v>0</v>
      </c>
    </row>
    <row r="314" spans="1:3" x14ac:dyDescent="0.25">
      <c r="A314" s="9">
        <v>13.25</v>
      </c>
      <c r="B314" s="2">
        <f t="shared" si="17"/>
        <v>0</v>
      </c>
      <c r="C314">
        <f t="shared" si="18"/>
        <v>0</v>
      </c>
    </row>
    <row r="315" spans="1:3" x14ac:dyDescent="0.25">
      <c r="A315" s="9">
        <v>13.3</v>
      </c>
      <c r="B315" s="2">
        <f t="shared" si="17"/>
        <v>0</v>
      </c>
      <c r="C315">
        <f t="shared" si="18"/>
        <v>0</v>
      </c>
    </row>
    <row r="316" spans="1:3" x14ac:dyDescent="0.25">
      <c r="A316" s="9">
        <v>13.35</v>
      </c>
      <c r="B316" s="2">
        <f t="shared" si="17"/>
        <v>0</v>
      </c>
      <c r="C316">
        <f t="shared" si="18"/>
        <v>0</v>
      </c>
    </row>
    <row r="317" spans="1:3" x14ac:dyDescent="0.25">
      <c r="A317" s="9">
        <v>13.4</v>
      </c>
      <c r="B317" s="2">
        <f t="shared" si="17"/>
        <v>0</v>
      </c>
      <c r="C317">
        <f t="shared" si="18"/>
        <v>0</v>
      </c>
    </row>
    <row r="318" spans="1:3" x14ac:dyDescent="0.25">
      <c r="A318" s="9">
        <v>13.45</v>
      </c>
      <c r="B318" s="2">
        <f t="shared" si="17"/>
        <v>0</v>
      </c>
      <c r="C318">
        <f t="shared" si="18"/>
        <v>0</v>
      </c>
    </row>
    <row r="319" spans="1:3" x14ac:dyDescent="0.25">
      <c r="A319" s="9">
        <v>13.5</v>
      </c>
      <c r="B319" s="2">
        <f t="shared" si="17"/>
        <v>0</v>
      </c>
      <c r="C319">
        <f t="shared" si="18"/>
        <v>0</v>
      </c>
    </row>
    <row r="320" spans="1:3" x14ac:dyDescent="0.25">
      <c r="A320" s="9">
        <v>13.55</v>
      </c>
      <c r="B320" s="2">
        <f t="shared" si="17"/>
        <v>0</v>
      </c>
      <c r="C320">
        <f t="shared" si="18"/>
        <v>0</v>
      </c>
    </row>
    <row r="321" spans="1:3" x14ac:dyDescent="0.25">
      <c r="A321" s="9">
        <v>13.6</v>
      </c>
      <c r="B321" s="2">
        <f t="shared" si="17"/>
        <v>0</v>
      </c>
      <c r="C321">
        <f t="shared" si="18"/>
        <v>0</v>
      </c>
    </row>
    <row r="322" spans="1:3" x14ac:dyDescent="0.25">
      <c r="A322" s="9">
        <v>13.65</v>
      </c>
      <c r="B322" s="2">
        <f t="shared" si="17"/>
        <v>0</v>
      </c>
      <c r="C322">
        <f t="shared" si="18"/>
        <v>0</v>
      </c>
    </row>
    <row r="323" spans="1:3" x14ac:dyDescent="0.25">
      <c r="A323" s="9">
        <v>13.7</v>
      </c>
      <c r="B323" s="2">
        <f t="shared" si="17"/>
        <v>0</v>
      </c>
      <c r="C323">
        <f t="shared" si="18"/>
        <v>0</v>
      </c>
    </row>
    <row r="324" spans="1:3" x14ac:dyDescent="0.25">
      <c r="A324" s="9">
        <v>13.75</v>
      </c>
      <c r="B324" s="2">
        <f t="shared" si="17"/>
        <v>0</v>
      </c>
      <c r="C324">
        <f t="shared" si="18"/>
        <v>0</v>
      </c>
    </row>
    <row r="325" spans="1:3" x14ac:dyDescent="0.25">
      <c r="A325" s="9">
        <v>13.8</v>
      </c>
      <c r="B325" s="2">
        <f t="shared" si="17"/>
        <v>0</v>
      </c>
      <c r="C325">
        <f t="shared" si="18"/>
        <v>0</v>
      </c>
    </row>
    <row r="326" spans="1:3" x14ac:dyDescent="0.25">
      <c r="A326" s="9">
        <v>13.85</v>
      </c>
      <c r="B326" s="2">
        <f t="shared" si="17"/>
        <v>0</v>
      </c>
      <c r="C326">
        <f t="shared" si="18"/>
        <v>0</v>
      </c>
    </row>
    <row r="327" spans="1:3" x14ac:dyDescent="0.25">
      <c r="A327" s="9">
        <v>13.9</v>
      </c>
      <c r="B327" s="2">
        <f t="shared" si="17"/>
        <v>0</v>
      </c>
      <c r="C327">
        <f t="shared" si="18"/>
        <v>0</v>
      </c>
    </row>
    <row r="328" spans="1:3" x14ac:dyDescent="0.25">
      <c r="A328" s="9">
        <v>13.95</v>
      </c>
      <c r="B328" s="2">
        <f t="shared" si="17"/>
        <v>0</v>
      </c>
      <c r="C328">
        <f t="shared" si="18"/>
        <v>0</v>
      </c>
    </row>
    <row r="329" spans="1:3" x14ac:dyDescent="0.25">
      <c r="A329" s="9">
        <v>14</v>
      </c>
      <c r="B329" s="2">
        <f t="shared" si="17"/>
        <v>0</v>
      </c>
      <c r="C329">
        <f t="shared" si="18"/>
        <v>0</v>
      </c>
    </row>
    <row r="330" spans="1:3" x14ac:dyDescent="0.25">
      <c r="A330" s="9">
        <v>14.05</v>
      </c>
      <c r="B330" s="2">
        <f t="shared" si="17"/>
        <v>0</v>
      </c>
      <c r="C330">
        <f t="shared" si="18"/>
        <v>0</v>
      </c>
    </row>
    <row r="331" spans="1:3" x14ac:dyDescent="0.25">
      <c r="A331" s="9">
        <v>14.1</v>
      </c>
      <c r="B331" s="2">
        <f t="shared" si="17"/>
        <v>0</v>
      </c>
      <c r="C331">
        <f t="shared" si="18"/>
        <v>0</v>
      </c>
    </row>
    <row r="332" spans="1:3" x14ac:dyDescent="0.25">
      <c r="A332" s="9">
        <v>14.15</v>
      </c>
      <c r="B332" s="2">
        <f t="shared" si="17"/>
        <v>0</v>
      </c>
      <c r="C332">
        <f t="shared" si="18"/>
        <v>0</v>
      </c>
    </row>
    <row r="333" spans="1:3" x14ac:dyDescent="0.25">
      <c r="A333" s="9">
        <v>14.2</v>
      </c>
      <c r="B333" s="2">
        <f t="shared" si="17"/>
        <v>0</v>
      </c>
      <c r="C333">
        <f t="shared" si="18"/>
        <v>0</v>
      </c>
    </row>
    <row r="334" spans="1:3" x14ac:dyDescent="0.25">
      <c r="A334" s="9">
        <v>14.25</v>
      </c>
      <c r="B334" s="2">
        <f t="shared" si="17"/>
        <v>0</v>
      </c>
      <c r="C334">
        <f t="shared" si="18"/>
        <v>0</v>
      </c>
    </row>
    <row r="335" spans="1:3" x14ac:dyDescent="0.25">
      <c r="A335" s="9">
        <v>14.3</v>
      </c>
      <c r="B335" s="2">
        <f t="shared" si="17"/>
        <v>0</v>
      </c>
      <c r="C335">
        <f t="shared" si="18"/>
        <v>0</v>
      </c>
    </row>
    <row r="336" spans="1:3" x14ac:dyDescent="0.25">
      <c r="A336" s="9">
        <v>14.35</v>
      </c>
      <c r="B336" s="2">
        <f t="shared" si="17"/>
        <v>0</v>
      </c>
      <c r="C336">
        <f t="shared" si="18"/>
        <v>0</v>
      </c>
    </row>
    <row r="337" spans="1:3" x14ac:dyDescent="0.25">
      <c r="A337" s="9">
        <v>14.4</v>
      </c>
      <c r="B337" s="2">
        <f t="shared" si="17"/>
        <v>0</v>
      </c>
      <c r="C337">
        <f t="shared" si="18"/>
        <v>0</v>
      </c>
    </row>
    <row r="338" spans="1:3" x14ac:dyDescent="0.25">
      <c r="A338" s="9">
        <v>14.45</v>
      </c>
      <c r="B338" s="2">
        <f t="shared" si="17"/>
        <v>0</v>
      </c>
      <c r="C338">
        <f t="shared" si="18"/>
        <v>0</v>
      </c>
    </row>
    <row r="339" spans="1:3" x14ac:dyDescent="0.25">
      <c r="A339" s="9">
        <v>14.5</v>
      </c>
      <c r="B339" s="2">
        <f t="shared" si="17"/>
        <v>0</v>
      </c>
      <c r="C339">
        <f t="shared" si="18"/>
        <v>0</v>
      </c>
    </row>
    <row r="340" spans="1:3" x14ac:dyDescent="0.25">
      <c r="A340" s="9">
        <v>14.55</v>
      </c>
      <c r="B340" s="2">
        <f t="shared" si="17"/>
        <v>0</v>
      </c>
      <c r="C340">
        <f t="shared" si="18"/>
        <v>0</v>
      </c>
    </row>
    <row r="341" spans="1:3" x14ac:dyDescent="0.25">
      <c r="A341" s="9">
        <v>14.6</v>
      </c>
      <c r="B341" s="2">
        <f t="shared" si="17"/>
        <v>0</v>
      </c>
      <c r="C341">
        <f t="shared" si="18"/>
        <v>0</v>
      </c>
    </row>
    <row r="342" spans="1:3" x14ac:dyDescent="0.25">
      <c r="A342" s="9">
        <v>14.65</v>
      </c>
      <c r="B342" s="2">
        <f t="shared" si="17"/>
        <v>0</v>
      </c>
      <c r="C342">
        <f t="shared" si="18"/>
        <v>0</v>
      </c>
    </row>
    <row r="343" spans="1:3" x14ac:dyDescent="0.25">
      <c r="A343" s="9">
        <v>14.7</v>
      </c>
      <c r="B343" s="2">
        <f t="shared" si="17"/>
        <v>0</v>
      </c>
      <c r="C343">
        <f t="shared" si="18"/>
        <v>0</v>
      </c>
    </row>
    <row r="344" spans="1:3" x14ac:dyDescent="0.25">
      <c r="A344" s="9">
        <v>14.75</v>
      </c>
      <c r="B344" s="2">
        <f t="shared" si="17"/>
        <v>0</v>
      </c>
      <c r="C344">
        <f t="shared" si="18"/>
        <v>0</v>
      </c>
    </row>
    <row r="345" spans="1:3" x14ac:dyDescent="0.25">
      <c r="A345" s="9">
        <v>14.8</v>
      </c>
      <c r="B345" s="2">
        <f t="shared" si="17"/>
        <v>0</v>
      </c>
      <c r="C345">
        <f t="shared" si="18"/>
        <v>0</v>
      </c>
    </row>
    <row r="346" spans="1:3" x14ac:dyDescent="0.25">
      <c r="A346" s="9">
        <v>14.85</v>
      </c>
      <c r="B346" s="2">
        <f t="shared" si="17"/>
        <v>0</v>
      </c>
      <c r="C346">
        <f t="shared" si="18"/>
        <v>0</v>
      </c>
    </row>
    <row r="347" spans="1:3" x14ac:dyDescent="0.25">
      <c r="A347" s="9">
        <v>14.9</v>
      </c>
      <c r="B347" s="2">
        <f t="shared" si="17"/>
        <v>0</v>
      </c>
      <c r="C347">
        <f t="shared" si="18"/>
        <v>0</v>
      </c>
    </row>
    <row r="348" spans="1:3" x14ac:dyDescent="0.25">
      <c r="A348" s="9">
        <v>14.95</v>
      </c>
      <c r="B348" s="2">
        <f t="shared" si="17"/>
        <v>0</v>
      </c>
      <c r="C348">
        <f t="shared" si="18"/>
        <v>0</v>
      </c>
    </row>
    <row r="349" spans="1:3" x14ac:dyDescent="0.25">
      <c r="A349" s="9">
        <v>15</v>
      </c>
      <c r="B349" s="2">
        <f t="shared" si="17"/>
        <v>0</v>
      </c>
      <c r="C349">
        <f t="shared" si="18"/>
        <v>0</v>
      </c>
    </row>
    <row r="350" spans="1:3" x14ac:dyDescent="0.25">
      <c r="A350" s="9">
        <v>15.05</v>
      </c>
      <c r="B350" s="2">
        <f t="shared" si="17"/>
        <v>0</v>
      </c>
      <c r="C350">
        <f t="shared" si="18"/>
        <v>0</v>
      </c>
    </row>
    <row r="351" spans="1:3" x14ac:dyDescent="0.25">
      <c r="A351" s="9">
        <v>15.1</v>
      </c>
      <c r="B351" s="2">
        <f t="shared" si="17"/>
        <v>0</v>
      </c>
      <c r="C351">
        <f t="shared" si="18"/>
        <v>0</v>
      </c>
    </row>
    <row r="352" spans="1:3" x14ac:dyDescent="0.25">
      <c r="A352" s="9">
        <v>15.15</v>
      </c>
      <c r="B352" s="2">
        <f t="shared" si="17"/>
        <v>0</v>
      </c>
      <c r="C352">
        <f t="shared" si="18"/>
        <v>0</v>
      </c>
    </row>
    <row r="353" spans="1:3" x14ac:dyDescent="0.25">
      <c r="A353" s="9">
        <v>15.2</v>
      </c>
      <c r="B353" s="2">
        <f t="shared" si="17"/>
        <v>0</v>
      </c>
      <c r="C353">
        <f t="shared" si="18"/>
        <v>0</v>
      </c>
    </row>
    <row r="354" spans="1:3" x14ac:dyDescent="0.25">
      <c r="A354" s="9">
        <v>15.25</v>
      </c>
      <c r="B354" s="2">
        <f t="shared" si="17"/>
        <v>0</v>
      </c>
      <c r="C354">
        <f t="shared" si="18"/>
        <v>0</v>
      </c>
    </row>
    <row r="355" spans="1:3" x14ac:dyDescent="0.25">
      <c r="A355" s="9">
        <v>15.3</v>
      </c>
      <c r="B355" s="2">
        <f t="shared" si="17"/>
        <v>0</v>
      </c>
      <c r="C355">
        <f t="shared" si="18"/>
        <v>0</v>
      </c>
    </row>
    <row r="356" spans="1:3" x14ac:dyDescent="0.25">
      <c r="A356" s="9">
        <v>15.35</v>
      </c>
      <c r="B356" s="2">
        <f t="shared" si="17"/>
        <v>0</v>
      </c>
      <c r="C356">
        <f t="shared" si="18"/>
        <v>0</v>
      </c>
    </row>
    <row r="357" spans="1:3" x14ac:dyDescent="0.25">
      <c r="A357" s="9">
        <v>15.4</v>
      </c>
      <c r="B357" s="2">
        <f t="shared" si="17"/>
        <v>0</v>
      </c>
      <c r="C357">
        <f t="shared" si="18"/>
        <v>0</v>
      </c>
    </row>
    <row r="358" spans="1:3" x14ac:dyDescent="0.25">
      <c r="A358" s="9">
        <v>15.45</v>
      </c>
      <c r="B358" s="2">
        <f t="shared" si="17"/>
        <v>0</v>
      </c>
      <c r="C358">
        <f t="shared" si="18"/>
        <v>0</v>
      </c>
    </row>
    <row r="359" spans="1:3" x14ac:dyDescent="0.25">
      <c r="A359" s="9">
        <v>15.5</v>
      </c>
      <c r="B359" s="2">
        <f t="shared" si="17"/>
        <v>0</v>
      </c>
      <c r="C359">
        <f t="shared" si="18"/>
        <v>0</v>
      </c>
    </row>
    <row r="360" spans="1:3" x14ac:dyDescent="0.25">
      <c r="A360" s="9">
        <v>15.55</v>
      </c>
      <c r="B360" s="2">
        <f t="shared" si="17"/>
        <v>0</v>
      </c>
      <c r="C360">
        <f t="shared" si="18"/>
        <v>0</v>
      </c>
    </row>
    <row r="361" spans="1:3" x14ac:dyDescent="0.25">
      <c r="A361" s="9">
        <v>15.6</v>
      </c>
      <c r="B361" s="2">
        <f t="shared" si="17"/>
        <v>0</v>
      </c>
      <c r="C361">
        <f t="shared" si="18"/>
        <v>0</v>
      </c>
    </row>
    <row r="362" spans="1:3" x14ac:dyDescent="0.25">
      <c r="A362" s="9">
        <v>15.65</v>
      </c>
      <c r="B362" s="2">
        <f t="shared" si="17"/>
        <v>0</v>
      </c>
      <c r="C362">
        <f t="shared" si="18"/>
        <v>0</v>
      </c>
    </row>
    <row r="363" spans="1:3" x14ac:dyDescent="0.25">
      <c r="A363" s="9">
        <v>15.7</v>
      </c>
      <c r="B363" s="2">
        <f t="shared" si="17"/>
        <v>0</v>
      </c>
      <c r="C363">
        <f t="shared" si="18"/>
        <v>0</v>
      </c>
    </row>
    <row r="364" spans="1:3" x14ac:dyDescent="0.25">
      <c r="A364" s="9">
        <v>15.75</v>
      </c>
      <c r="B364" s="2">
        <f t="shared" si="17"/>
        <v>0</v>
      </c>
      <c r="C364">
        <f t="shared" si="18"/>
        <v>0</v>
      </c>
    </row>
    <row r="365" spans="1:3" x14ac:dyDescent="0.25">
      <c r="A365" s="9">
        <v>15.8</v>
      </c>
      <c r="B365" s="2">
        <f t="shared" si="17"/>
        <v>0</v>
      </c>
      <c r="C365">
        <f t="shared" si="18"/>
        <v>0</v>
      </c>
    </row>
    <row r="366" spans="1:3" x14ac:dyDescent="0.25">
      <c r="A366" s="9">
        <v>15.85</v>
      </c>
      <c r="B366" s="2">
        <f t="shared" si="17"/>
        <v>0</v>
      </c>
      <c r="C366">
        <f t="shared" si="18"/>
        <v>0</v>
      </c>
    </row>
    <row r="367" spans="1:3" x14ac:dyDescent="0.25">
      <c r="A367" s="9">
        <v>15.9</v>
      </c>
      <c r="B367" s="2">
        <f t="shared" si="17"/>
        <v>0</v>
      </c>
      <c r="C367">
        <f t="shared" si="18"/>
        <v>0</v>
      </c>
    </row>
    <row r="368" spans="1:3" x14ac:dyDescent="0.25">
      <c r="A368" s="9">
        <v>15.95</v>
      </c>
      <c r="B368" s="2">
        <f t="shared" si="17"/>
        <v>0</v>
      </c>
      <c r="C368">
        <f t="shared" si="18"/>
        <v>0</v>
      </c>
    </row>
    <row r="369" spans="1:3" x14ac:dyDescent="0.25">
      <c r="A369" s="9">
        <v>16</v>
      </c>
      <c r="B369" s="2">
        <f t="shared" si="17"/>
        <v>0</v>
      </c>
      <c r="C369">
        <f t="shared" si="18"/>
        <v>0</v>
      </c>
    </row>
    <row r="370" spans="1:3" x14ac:dyDescent="0.25">
      <c r="A370" s="9">
        <v>16.05</v>
      </c>
      <c r="B370" s="2">
        <f t="shared" ref="B370:B433" si="19">Tria(A370,$A$2,$B$2,$C$2,0)</f>
        <v>0</v>
      </c>
      <c r="C370">
        <f t="shared" ref="C370:C433" si="20">pdf_Tria(A370,2,$A$2,$B$2,$C$2)</f>
        <v>0</v>
      </c>
    </row>
    <row r="371" spans="1:3" x14ac:dyDescent="0.25">
      <c r="A371" s="9">
        <v>16.100000000000001</v>
      </c>
      <c r="B371" s="2">
        <f t="shared" si="19"/>
        <v>0</v>
      </c>
      <c r="C371">
        <f t="shared" si="20"/>
        <v>0</v>
      </c>
    </row>
    <row r="372" spans="1:3" x14ac:dyDescent="0.25">
      <c r="A372" s="9">
        <v>16.149999999999999</v>
      </c>
      <c r="B372" s="2">
        <f t="shared" si="19"/>
        <v>0</v>
      </c>
      <c r="C372">
        <f t="shared" si="20"/>
        <v>0</v>
      </c>
    </row>
    <row r="373" spans="1:3" x14ac:dyDescent="0.25">
      <c r="A373" s="9">
        <v>16.2</v>
      </c>
      <c r="B373" s="2">
        <f t="shared" si="19"/>
        <v>0</v>
      </c>
      <c r="C373">
        <f t="shared" si="20"/>
        <v>0</v>
      </c>
    </row>
    <row r="374" spans="1:3" x14ac:dyDescent="0.25">
      <c r="A374" s="9">
        <v>16.25</v>
      </c>
      <c r="B374" s="2">
        <f t="shared" si="19"/>
        <v>0</v>
      </c>
      <c r="C374">
        <f t="shared" si="20"/>
        <v>0</v>
      </c>
    </row>
    <row r="375" spans="1:3" x14ac:dyDescent="0.25">
      <c r="A375" s="9">
        <v>16.3</v>
      </c>
      <c r="B375" s="2">
        <f t="shared" si="19"/>
        <v>0</v>
      </c>
      <c r="C375">
        <f t="shared" si="20"/>
        <v>0</v>
      </c>
    </row>
    <row r="376" spans="1:3" x14ac:dyDescent="0.25">
      <c r="A376" s="9">
        <v>16.350000000000001</v>
      </c>
      <c r="B376" s="2">
        <f t="shared" si="19"/>
        <v>0</v>
      </c>
      <c r="C376">
        <f t="shared" si="20"/>
        <v>0</v>
      </c>
    </row>
    <row r="377" spans="1:3" x14ac:dyDescent="0.25">
      <c r="A377" s="9">
        <v>16.399999999999999</v>
      </c>
      <c r="B377" s="2">
        <f t="shared" si="19"/>
        <v>0</v>
      </c>
      <c r="C377">
        <f t="shared" si="20"/>
        <v>0</v>
      </c>
    </row>
    <row r="378" spans="1:3" x14ac:dyDescent="0.25">
      <c r="A378" s="9">
        <v>16.45</v>
      </c>
      <c r="B378" s="2">
        <f t="shared" si="19"/>
        <v>0</v>
      </c>
      <c r="C378">
        <f t="shared" si="20"/>
        <v>0</v>
      </c>
    </row>
    <row r="379" spans="1:3" x14ac:dyDescent="0.25">
      <c r="A379" s="9">
        <v>16.5</v>
      </c>
      <c r="B379" s="2">
        <f t="shared" si="19"/>
        <v>0</v>
      </c>
      <c r="C379">
        <f t="shared" si="20"/>
        <v>0</v>
      </c>
    </row>
    <row r="380" spans="1:3" x14ac:dyDescent="0.25">
      <c r="A380" s="9">
        <v>16.55</v>
      </c>
      <c r="B380" s="2">
        <f t="shared" si="19"/>
        <v>0</v>
      </c>
      <c r="C380">
        <f t="shared" si="20"/>
        <v>0</v>
      </c>
    </row>
    <row r="381" spans="1:3" x14ac:dyDescent="0.25">
      <c r="A381" s="9">
        <v>16.600000000000001</v>
      </c>
      <c r="B381" s="2">
        <f t="shared" si="19"/>
        <v>0</v>
      </c>
      <c r="C381">
        <f t="shared" si="20"/>
        <v>0</v>
      </c>
    </row>
    <row r="382" spans="1:3" x14ac:dyDescent="0.25">
      <c r="A382" s="9">
        <v>16.649999999999999</v>
      </c>
      <c r="B382" s="2">
        <f t="shared" si="19"/>
        <v>0</v>
      </c>
      <c r="C382">
        <f t="shared" si="20"/>
        <v>0</v>
      </c>
    </row>
    <row r="383" spans="1:3" x14ac:dyDescent="0.25">
      <c r="A383" s="9">
        <v>16.7</v>
      </c>
      <c r="B383" s="2">
        <f t="shared" si="19"/>
        <v>0</v>
      </c>
      <c r="C383">
        <f t="shared" si="20"/>
        <v>0</v>
      </c>
    </row>
    <row r="384" spans="1:3" x14ac:dyDescent="0.25">
      <c r="A384" s="9">
        <v>16.75</v>
      </c>
      <c r="B384" s="2">
        <f t="shared" si="19"/>
        <v>0</v>
      </c>
      <c r="C384">
        <f t="shared" si="20"/>
        <v>0</v>
      </c>
    </row>
    <row r="385" spans="1:3" x14ac:dyDescent="0.25">
      <c r="A385" s="9">
        <v>16.8</v>
      </c>
      <c r="B385" s="2">
        <f t="shared" si="19"/>
        <v>0</v>
      </c>
      <c r="C385">
        <f t="shared" si="20"/>
        <v>0</v>
      </c>
    </row>
    <row r="386" spans="1:3" x14ac:dyDescent="0.25">
      <c r="A386" s="9">
        <v>16.850000000000001</v>
      </c>
      <c r="B386" s="2">
        <f t="shared" si="19"/>
        <v>0</v>
      </c>
      <c r="C386">
        <f t="shared" si="20"/>
        <v>0</v>
      </c>
    </row>
    <row r="387" spans="1:3" x14ac:dyDescent="0.25">
      <c r="A387" s="9">
        <v>16.899999999999999</v>
      </c>
      <c r="B387" s="2">
        <f t="shared" si="19"/>
        <v>0</v>
      </c>
      <c r="C387">
        <f t="shared" si="20"/>
        <v>0</v>
      </c>
    </row>
    <row r="388" spans="1:3" x14ac:dyDescent="0.25">
      <c r="A388" s="9">
        <v>16.95</v>
      </c>
      <c r="B388" s="2">
        <f t="shared" si="19"/>
        <v>0</v>
      </c>
      <c r="C388">
        <f t="shared" si="20"/>
        <v>0</v>
      </c>
    </row>
    <row r="389" spans="1:3" x14ac:dyDescent="0.25">
      <c r="A389" s="9">
        <v>17</v>
      </c>
      <c r="B389" s="2">
        <f t="shared" si="19"/>
        <v>0</v>
      </c>
      <c r="C389">
        <f t="shared" si="20"/>
        <v>0</v>
      </c>
    </row>
    <row r="390" spans="1:3" x14ac:dyDescent="0.25">
      <c r="A390" s="9">
        <v>17.05</v>
      </c>
      <c r="B390" s="2">
        <f t="shared" si="19"/>
        <v>0</v>
      </c>
      <c r="C390">
        <f t="shared" si="20"/>
        <v>0</v>
      </c>
    </row>
    <row r="391" spans="1:3" x14ac:dyDescent="0.25">
      <c r="A391" s="9">
        <v>17.100000000000001</v>
      </c>
      <c r="B391" s="2">
        <f t="shared" si="19"/>
        <v>0</v>
      </c>
      <c r="C391">
        <f t="shared" si="20"/>
        <v>0</v>
      </c>
    </row>
    <row r="392" spans="1:3" x14ac:dyDescent="0.25">
      <c r="A392" s="9">
        <v>17.149999999999999</v>
      </c>
      <c r="B392" s="2">
        <f t="shared" si="19"/>
        <v>0</v>
      </c>
      <c r="C392">
        <f t="shared" si="20"/>
        <v>0</v>
      </c>
    </row>
    <row r="393" spans="1:3" x14ac:dyDescent="0.25">
      <c r="A393" s="9">
        <v>17.2</v>
      </c>
      <c r="B393" s="2">
        <f t="shared" si="19"/>
        <v>0</v>
      </c>
      <c r="C393">
        <f t="shared" si="20"/>
        <v>0</v>
      </c>
    </row>
    <row r="394" spans="1:3" x14ac:dyDescent="0.25">
      <c r="A394" s="9">
        <v>17.25</v>
      </c>
      <c r="B394" s="2">
        <f t="shared" si="19"/>
        <v>0</v>
      </c>
      <c r="C394">
        <f t="shared" si="20"/>
        <v>0</v>
      </c>
    </row>
    <row r="395" spans="1:3" x14ac:dyDescent="0.25">
      <c r="A395" s="9">
        <v>17.3</v>
      </c>
      <c r="B395" s="2">
        <f t="shared" si="19"/>
        <v>0</v>
      </c>
      <c r="C395">
        <f t="shared" si="20"/>
        <v>0</v>
      </c>
    </row>
    <row r="396" spans="1:3" x14ac:dyDescent="0.25">
      <c r="A396" s="9">
        <v>17.350000000000001</v>
      </c>
      <c r="B396" s="2">
        <f t="shared" si="19"/>
        <v>0</v>
      </c>
      <c r="C396">
        <f t="shared" si="20"/>
        <v>0</v>
      </c>
    </row>
    <row r="397" spans="1:3" x14ac:dyDescent="0.25">
      <c r="A397" s="9">
        <v>17.399999999999999</v>
      </c>
      <c r="B397" s="2">
        <f t="shared" si="19"/>
        <v>0</v>
      </c>
      <c r="C397">
        <f t="shared" si="20"/>
        <v>0</v>
      </c>
    </row>
    <row r="398" spans="1:3" x14ac:dyDescent="0.25">
      <c r="A398" s="9">
        <v>17.45</v>
      </c>
      <c r="B398" s="2">
        <f t="shared" si="19"/>
        <v>0</v>
      </c>
      <c r="C398">
        <f t="shared" si="20"/>
        <v>0</v>
      </c>
    </row>
    <row r="399" spans="1:3" x14ac:dyDescent="0.25">
      <c r="A399" s="9">
        <v>17.5</v>
      </c>
      <c r="B399" s="2">
        <f t="shared" si="19"/>
        <v>0</v>
      </c>
      <c r="C399">
        <f t="shared" si="20"/>
        <v>0</v>
      </c>
    </row>
    <row r="400" spans="1:3" x14ac:dyDescent="0.25">
      <c r="A400" s="9">
        <v>17.55</v>
      </c>
      <c r="B400" s="2">
        <f t="shared" si="19"/>
        <v>0</v>
      </c>
      <c r="C400">
        <f t="shared" si="20"/>
        <v>0</v>
      </c>
    </row>
    <row r="401" spans="1:3" x14ac:dyDescent="0.25">
      <c r="A401" s="9">
        <v>17.600000000000001</v>
      </c>
      <c r="B401" s="2">
        <f t="shared" si="19"/>
        <v>0</v>
      </c>
      <c r="C401">
        <f t="shared" si="20"/>
        <v>0</v>
      </c>
    </row>
    <row r="402" spans="1:3" x14ac:dyDescent="0.25">
      <c r="A402" s="9">
        <v>17.649999999999999</v>
      </c>
      <c r="B402" s="2">
        <f t="shared" si="19"/>
        <v>0</v>
      </c>
      <c r="C402">
        <f t="shared" si="20"/>
        <v>0</v>
      </c>
    </row>
    <row r="403" spans="1:3" x14ac:dyDescent="0.25">
      <c r="A403" s="9">
        <v>17.7</v>
      </c>
      <c r="B403" s="2">
        <f t="shared" si="19"/>
        <v>0</v>
      </c>
      <c r="C403">
        <f t="shared" si="20"/>
        <v>0</v>
      </c>
    </row>
    <row r="404" spans="1:3" x14ac:dyDescent="0.25">
      <c r="A404" s="9">
        <v>17.75</v>
      </c>
      <c r="B404" s="2">
        <f t="shared" si="19"/>
        <v>0</v>
      </c>
      <c r="C404">
        <f t="shared" si="20"/>
        <v>0</v>
      </c>
    </row>
    <row r="405" spans="1:3" x14ac:dyDescent="0.25">
      <c r="A405" s="9">
        <v>17.8</v>
      </c>
      <c r="B405" s="2">
        <f t="shared" si="19"/>
        <v>0</v>
      </c>
      <c r="C405">
        <f t="shared" si="20"/>
        <v>0</v>
      </c>
    </row>
    <row r="406" spans="1:3" x14ac:dyDescent="0.25">
      <c r="A406" s="9">
        <v>17.850000000000001</v>
      </c>
      <c r="B406" s="2">
        <f t="shared" si="19"/>
        <v>0</v>
      </c>
      <c r="C406">
        <f t="shared" si="20"/>
        <v>0</v>
      </c>
    </row>
    <row r="407" spans="1:3" x14ac:dyDescent="0.25">
      <c r="A407" s="9">
        <v>17.899999999999999</v>
      </c>
      <c r="B407" s="2">
        <f t="shared" si="19"/>
        <v>0</v>
      </c>
      <c r="C407">
        <f t="shared" si="20"/>
        <v>0</v>
      </c>
    </row>
    <row r="408" spans="1:3" x14ac:dyDescent="0.25">
      <c r="A408" s="9">
        <v>17.95</v>
      </c>
      <c r="B408" s="2">
        <f t="shared" si="19"/>
        <v>0</v>
      </c>
      <c r="C408">
        <f t="shared" si="20"/>
        <v>0</v>
      </c>
    </row>
    <row r="409" spans="1:3" x14ac:dyDescent="0.25">
      <c r="A409" s="9">
        <v>18</v>
      </c>
      <c r="B409" s="2">
        <f t="shared" si="19"/>
        <v>0</v>
      </c>
      <c r="C409">
        <f t="shared" si="20"/>
        <v>0</v>
      </c>
    </row>
    <row r="410" spans="1:3" x14ac:dyDescent="0.25">
      <c r="A410" s="9">
        <v>18.05</v>
      </c>
      <c r="B410" s="2">
        <f t="shared" si="19"/>
        <v>0</v>
      </c>
      <c r="C410">
        <f t="shared" si="20"/>
        <v>0</v>
      </c>
    </row>
    <row r="411" spans="1:3" x14ac:dyDescent="0.25">
      <c r="A411" s="9">
        <v>18.100000000000001</v>
      </c>
      <c r="B411" s="2">
        <f t="shared" si="19"/>
        <v>0</v>
      </c>
      <c r="C411">
        <f t="shared" si="20"/>
        <v>0</v>
      </c>
    </row>
    <row r="412" spans="1:3" x14ac:dyDescent="0.25">
      <c r="A412" s="9">
        <v>18.149999999999999</v>
      </c>
      <c r="B412" s="2">
        <f t="shared" si="19"/>
        <v>0</v>
      </c>
      <c r="C412">
        <f t="shared" si="20"/>
        <v>0</v>
      </c>
    </row>
    <row r="413" spans="1:3" x14ac:dyDescent="0.25">
      <c r="A413" s="9">
        <v>18.2</v>
      </c>
      <c r="B413" s="2">
        <f t="shared" si="19"/>
        <v>0</v>
      </c>
      <c r="C413">
        <f t="shared" si="20"/>
        <v>0</v>
      </c>
    </row>
    <row r="414" spans="1:3" x14ac:dyDescent="0.25">
      <c r="A414" s="9">
        <v>18.25</v>
      </c>
      <c r="B414" s="2">
        <f t="shared" si="19"/>
        <v>0</v>
      </c>
      <c r="C414">
        <f t="shared" si="20"/>
        <v>0</v>
      </c>
    </row>
    <row r="415" spans="1:3" x14ac:dyDescent="0.25">
      <c r="A415" s="9">
        <v>18.3</v>
      </c>
      <c r="B415" s="2">
        <f t="shared" si="19"/>
        <v>0</v>
      </c>
      <c r="C415">
        <f t="shared" si="20"/>
        <v>0</v>
      </c>
    </row>
    <row r="416" spans="1:3" x14ac:dyDescent="0.25">
      <c r="A416" s="9">
        <v>18.350000000000001</v>
      </c>
      <c r="B416" s="2">
        <f t="shared" si="19"/>
        <v>0</v>
      </c>
      <c r="C416">
        <f t="shared" si="20"/>
        <v>0</v>
      </c>
    </row>
    <row r="417" spans="1:3" x14ac:dyDescent="0.25">
      <c r="A417" s="9">
        <v>18.399999999999999</v>
      </c>
      <c r="B417" s="2">
        <f t="shared" si="19"/>
        <v>0</v>
      </c>
      <c r="C417">
        <f t="shared" si="20"/>
        <v>0</v>
      </c>
    </row>
    <row r="418" spans="1:3" x14ac:dyDescent="0.25">
      <c r="A418" s="9">
        <v>18.45</v>
      </c>
      <c r="B418" s="2">
        <f t="shared" si="19"/>
        <v>0</v>
      </c>
      <c r="C418">
        <f t="shared" si="20"/>
        <v>0</v>
      </c>
    </row>
    <row r="419" spans="1:3" x14ac:dyDescent="0.25">
      <c r="A419" s="9">
        <v>18.5</v>
      </c>
      <c r="B419" s="2">
        <f t="shared" si="19"/>
        <v>0</v>
      </c>
      <c r="C419">
        <f t="shared" si="20"/>
        <v>0</v>
      </c>
    </row>
    <row r="420" spans="1:3" x14ac:dyDescent="0.25">
      <c r="A420" s="9">
        <v>18.55</v>
      </c>
      <c r="B420" s="2">
        <f t="shared" si="19"/>
        <v>0</v>
      </c>
      <c r="C420">
        <f t="shared" si="20"/>
        <v>0</v>
      </c>
    </row>
    <row r="421" spans="1:3" x14ac:dyDescent="0.25">
      <c r="A421" s="9">
        <v>18.600000000000001</v>
      </c>
      <c r="B421" s="2">
        <f t="shared" si="19"/>
        <v>0</v>
      </c>
      <c r="C421">
        <f t="shared" si="20"/>
        <v>0</v>
      </c>
    </row>
    <row r="422" spans="1:3" x14ac:dyDescent="0.25">
      <c r="A422" s="9">
        <v>18.649999999999999</v>
      </c>
      <c r="B422" s="2">
        <f t="shared" si="19"/>
        <v>0</v>
      </c>
      <c r="C422">
        <f t="shared" si="20"/>
        <v>0</v>
      </c>
    </row>
    <row r="423" spans="1:3" x14ac:dyDescent="0.25">
      <c r="A423" s="9">
        <v>18.7</v>
      </c>
      <c r="B423" s="2">
        <f t="shared" si="19"/>
        <v>0</v>
      </c>
      <c r="C423">
        <f t="shared" si="20"/>
        <v>0</v>
      </c>
    </row>
    <row r="424" spans="1:3" x14ac:dyDescent="0.25">
      <c r="A424" s="9">
        <v>18.75</v>
      </c>
      <c r="B424" s="2">
        <f t="shared" si="19"/>
        <v>0</v>
      </c>
      <c r="C424">
        <f t="shared" si="20"/>
        <v>0</v>
      </c>
    </row>
    <row r="425" spans="1:3" x14ac:dyDescent="0.25">
      <c r="A425" s="9">
        <v>18.8</v>
      </c>
      <c r="B425" s="2">
        <f t="shared" si="19"/>
        <v>0</v>
      </c>
      <c r="C425">
        <f t="shared" si="20"/>
        <v>0</v>
      </c>
    </row>
    <row r="426" spans="1:3" x14ac:dyDescent="0.25">
      <c r="A426" s="9">
        <v>18.850000000000001</v>
      </c>
      <c r="B426" s="2">
        <f t="shared" si="19"/>
        <v>0</v>
      </c>
      <c r="C426">
        <f t="shared" si="20"/>
        <v>0</v>
      </c>
    </row>
    <row r="427" spans="1:3" x14ac:dyDescent="0.25">
      <c r="A427" s="9">
        <v>18.899999999999999</v>
      </c>
      <c r="B427" s="2">
        <f t="shared" si="19"/>
        <v>0</v>
      </c>
      <c r="C427">
        <f t="shared" si="20"/>
        <v>0</v>
      </c>
    </row>
    <row r="428" spans="1:3" x14ac:dyDescent="0.25">
      <c r="A428" s="9">
        <v>18.95</v>
      </c>
      <c r="B428" s="2">
        <f t="shared" si="19"/>
        <v>0</v>
      </c>
      <c r="C428">
        <f t="shared" si="20"/>
        <v>0</v>
      </c>
    </row>
    <row r="429" spans="1:3" x14ac:dyDescent="0.25">
      <c r="A429" s="9">
        <v>19</v>
      </c>
      <c r="B429" s="2">
        <f t="shared" si="19"/>
        <v>0</v>
      </c>
      <c r="C429">
        <f t="shared" si="20"/>
        <v>0</v>
      </c>
    </row>
    <row r="430" spans="1:3" x14ac:dyDescent="0.25">
      <c r="A430" s="9">
        <v>19.05</v>
      </c>
      <c r="B430" s="2">
        <f t="shared" si="19"/>
        <v>0</v>
      </c>
      <c r="C430">
        <f t="shared" si="20"/>
        <v>0</v>
      </c>
    </row>
    <row r="431" spans="1:3" x14ac:dyDescent="0.25">
      <c r="A431" s="9">
        <v>19.100000000000001</v>
      </c>
      <c r="B431" s="2">
        <f t="shared" si="19"/>
        <v>0</v>
      </c>
      <c r="C431">
        <f t="shared" si="20"/>
        <v>0</v>
      </c>
    </row>
    <row r="432" spans="1:3" x14ac:dyDescent="0.25">
      <c r="A432" s="9">
        <v>19.149999999999999</v>
      </c>
      <c r="B432" s="2">
        <f t="shared" si="19"/>
        <v>0</v>
      </c>
      <c r="C432">
        <f t="shared" si="20"/>
        <v>0</v>
      </c>
    </row>
    <row r="433" spans="1:3" x14ac:dyDescent="0.25">
      <c r="A433" s="9">
        <v>19.2</v>
      </c>
      <c r="B433" s="2">
        <f t="shared" si="19"/>
        <v>0</v>
      </c>
      <c r="C433">
        <f t="shared" si="20"/>
        <v>0</v>
      </c>
    </row>
    <row r="434" spans="1:3" x14ac:dyDescent="0.25">
      <c r="A434" s="9">
        <v>19.25</v>
      </c>
      <c r="B434" s="2">
        <f t="shared" ref="B434:B449" si="21">Tria(A434,$A$2,$B$2,$C$2,0)</f>
        <v>0</v>
      </c>
      <c r="C434">
        <f t="shared" ref="C434:C449" si="22">pdf_Tria(A434,2,$A$2,$B$2,$C$2)</f>
        <v>0</v>
      </c>
    </row>
    <row r="435" spans="1:3" x14ac:dyDescent="0.25">
      <c r="A435" s="9">
        <v>19.3</v>
      </c>
      <c r="B435" s="2">
        <f t="shared" si="21"/>
        <v>0</v>
      </c>
      <c r="C435">
        <f t="shared" si="22"/>
        <v>0</v>
      </c>
    </row>
    <row r="436" spans="1:3" x14ac:dyDescent="0.25">
      <c r="A436" s="9">
        <v>19.350000000000001</v>
      </c>
      <c r="B436" s="2">
        <f t="shared" si="21"/>
        <v>0</v>
      </c>
      <c r="C436">
        <f t="shared" si="22"/>
        <v>0</v>
      </c>
    </row>
    <row r="437" spans="1:3" x14ac:dyDescent="0.25">
      <c r="A437" s="9">
        <v>19.399999999999999</v>
      </c>
      <c r="B437" s="2">
        <f t="shared" si="21"/>
        <v>0</v>
      </c>
      <c r="C437">
        <f t="shared" si="22"/>
        <v>0</v>
      </c>
    </row>
    <row r="438" spans="1:3" x14ac:dyDescent="0.25">
      <c r="A438" s="9">
        <v>19.45</v>
      </c>
      <c r="B438" s="2">
        <f t="shared" si="21"/>
        <v>0</v>
      </c>
      <c r="C438">
        <f t="shared" si="22"/>
        <v>0</v>
      </c>
    </row>
    <row r="439" spans="1:3" x14ac:dyDescent="0.25">
      <c r="A439" s="9">
        <v>19.5</v>
      </c>
      <c r="B439" s="2">
        <f t="shared" si="21"/>
        <v>0</v>
      </c>
      <c r="C439">
        <f t="shared" si="22"/>
        <v>0</v>
      </c>
    </row>
    <row r="440" spans="1:3" x14ac:dyDescent="0.25">
      <c r="A440" s="9">
        <v>19.55</v>
      </c>
      <c r="B440" s="2">
        <f t="shared" si="21"/>
        <v>0</v>
      </c>
      <c r="C440">
        <f t="shared" si="22"/>
        <v>0</v>
      </c>
    </row>
    <row r="441" spans="1:3" x14ac:dyDescent="0.25">
      <c r="A441" s="9">
        <v>19.600000000000001</v>
      </c>
      <c r="B441" s="2">
        <f t="shared" si="21"/>
        <v>0</v>
      </c>
      <c r="C441">
        <f t="shared" si="22"/>
        <v>0</v>
      </c>
    </row>
    <row r="442" spans="1:3" x14ac:dyDescent="0.25">
      <c r="A442" s="9">
        <v>19.649999999999999</v>
      </c>
      <c r="B442" s="2">
        <f t="shared" si="21"/>
        <v>0</v>
      </c>
      <c r="C442">
        <f t="shared" si="22"/>
        <v>0</v>
      </c>
    </row>
    <row r="443" spans="1:3" x14ac:dyDescent="0.25">
      <c r="A443" s="9">
        <v>19.7</v>
      </c>
      <c r="B443" s="2">
        <f t="shared" si="21"/>
        <v>0</v>
      </c>
      <c r="C443">
        <f t="shared" si="22"/>
        <v>0</v>
      </c>
    </row>
    <row r="444" spans="1:3" x14ac:dyDescent="0.25">
      <c r="A444" s="9">
        <v>19.75</v>
      </c>
      <c r="B444" s="2">
        <f t="shared" si="21"/>
        <v>0</v>
      </c>
      <c r="C444">
        <f t="shared" si="22"/>
        <v>0</v>
      </c>
    </row>
    <row r="445" spans="1:3" x14ac:dyDescent="0.25">
      <c r="A445" s="9">
        <v>19.8</v>
      </c>
      <c r="B445" s="2">
        <f t="shared" si="21"/>
        <v>0</v>
      </c>
      <c r="C445">
        <f t="shared" si="22"/>
        <v>0</v>
      </c>
    </row>
    <row r="446" spans="1:3" x14ac:dyDescent="0.25">
      <c r="A446" s="9">
        <v>19.850000000000001</v>
      </c>
      <c r="B446" s="2">
        <f t="shared" si="21"/>
        <v>0</v>
      </c>
      <c r="C446">
        <f t="shared" si="22"/>
        <v>0</v>
      </c>
    </row>
    <row r="447" spans="1:3" x14ac:dyDescent="0.25">
      <c r="A447" s="9">
        <v>19.899999999999999</v>
      </c>
      <c r="B447" s="2">
        <f t="shared" si="21"/>
        <v>0</v>
      </c>
      <c r="C447">
        <f t="shared" si="22"/>
        <v>0</v>
      </c>
    </row>
    <row r="448" spans="1:3" x14ac:dyDescent="0.25">
      <c r="A448" s="9">
        <v>19.95</v>
      </c>
      <c r="B448" s="2">
        <f t="shared" si="21"/>
        <v>0</v>
      </c>
      <c r="C448">
        <f t="shared" si="22"/>
        <v>0</v>
      </c>
    </row>
    <row r="449" spans="1:3" x14ac:dyDescent="0.25">
      <c r="A449" s="9">
        <v>20</v>
      </c>
      <c r="B449" s="2">
        <f t="shared" si="21"/>
        <v>0</v>
      </c>
      <c r="C449">
        <f t="shared" si="22"/>
        <v>0</v>
      </c>
    </row>
  </sheetData>
  <hyperlinks>
    <hyperlink ref="D16" r:id="rId1" xr:uid="{85242B38-332A-478A-ADE3-D37C6C479F64}"/>
    <hyperlink ref="E16" r:id="rId2" xr:uid="{6E5214DF-03E6-4437-BE62-0C47AEFDB929}"/>
  </hyperlinks>
  <pageMargins left="0.7" right="0.7" top="0.78740157499999996" bottom="0.78740157499999996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Figure 1</vt:lpstr>
      <vt:lpstr>Figure 2</vt:lpstr>
      <vt:lpstr>Figure 3</vt:lpstr>
      <vt:lpstr>Figure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Cencic</dc:creator>
  <cp:lastModifiedBy>Cencic</cp:lastModifiedBy>
  <dcterms:created xsi:type="dcterms:W3CDTF">2020-12-16T10:23:41Z</dcterms:created>
  <dcterms:modified xsi:type="dcterms:W3CDTF">2025-06-20T10:33:07Z</dcterms:modified>
</cp:coreProperties>
</file>